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Alon\Downloads\"/>
    </mc:Choice>
  </mc:AlternateContent>
  <xr:revisionPtr revIDLastSave="0" documentId="8_{5DA9F5BE-D086-4FDF-A201-D03A7E339E22}" xr6:coauthVersionLast="47" xr6:coauthVersionMax="47" xr10:uidLastSave="{00000000-0000-0000-0000-000000000000}"/>
  <bookViews>
    <workbookView xWindow="-108" yWindow="-108" windowWidth="23256" windowHeight="12456" tabRatio="814" activeTab="2" xr2:uid="{E6907A45-50B4-4F10-B88E-944868F7AA40}"/>
  </bookViews>
  <sheets>
    <sheet name="Description" sheetId="1" r:id="rId1"/>
    <sheet name="Series changes 2019" sheetId="11" r:id="rId2"/>
    <sheet name="Series changes 2018" sheetId="10" r:id="rId3"/>
    <sheet name="Series changes 2017" sheetId="9" r:id="rId4"/>
    <sheet name="Series changes 2016" sheetId="8" r:id="rId5"/>
    <sheet name="Series changes 2015" sheetId="7" r:id="rId6"/>
    <sheet name="Series changes 2014" sheetId="6" r:id="rId7"/>
    <sheet name="Series changes 2013" sheetId="2" r:id="rId8"/>
    <sheet name="Series changes 2012" sheetId="4" r:id="rId9"/>
    <sheet name="Series changes 2011" sheetId="5" r:id="rId10"/>
  </sheets>
  <definedNames>
    <definedName name="_xlnm._FilterDatabase" localSheetId="2" hidden="1">'Series changes 2018'!$A$1:$G$236</definedName>
    <definedName name="_xlnm._FilterDatabase" localSheetId="1" hidden="1">'Series changes 2019'!$A$1:$G$40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 l="1"/>
  <c r="C39" i="11"/>
  <c r="C36" i="11"/>
  <c r="C33" i="11"/>
  <c r="C30" i="11"/>
  <c r="C27" i="11"/>
  <c r="C24" i="11"/>
  <c r="C1" i="11"/>
  <c r="C147" i="10"/>
  <c r="C84" i="10"/>
  <c r="C1" i="10"/>
  <c r="C160" i="10"/>
  <c r="C235" i="10"/>
  <c r="C232" i="10"/>
  <c r="C229" i="10"/>
  <c r="B1" i="9"/>
  <c r="B260" i="9"/>
  <c r="B357" i="9"/>
  <c r="B210" i="9"/>
  <c r="B419" i="9"/>
  <c r="B208" i="9"/>
  <c r="B167" i="9"/>
  <c r="B344" i="8"/>
  <c r="B316" i="8"/>
  <c r="B230" i="8"/>
  <c r="B169" i="8"/>
  <c r="B166" i="8"/>
  <c r="B137" i="8"/>
  <c r="B1" i="8"/>
  <c r="B1" i="2"/>
  <c r="E13" i="2"/>
  <c r="E14" i="2"/>
  <c r="E17" i="2"/>
  <c r="E18" i="2"/>
  <c r="E19" i="2"/>
  <c r="E20" i="2"/>
  <c r="E21" i="2"/>
  <c r="E22" i="2"/>
  <c r="E23" i="2"/>
  <c r="E24" i="2"/>
  <c r="B50" i="2"/>
  <c r="B63" i="2"/>
  <c r="B120" i="2"/>
  <c r="B249" i="2"/>
  <c r="B324" i="2"/>
  <c r="B1" i="6"/>
  <c r="B60" i="6"/>
  <c r="B74" i="6"/>
  <c r="B88" i="6"/>
  <c r="B146" i="6"/>
  <c r="B208" i="6"/>
  <c r="B234" i="6"/>
  <c r="B1" i="7"/>
  <c r="B37" i="7"/>
  <c r="B73" i="7"/>
  <c r="B75" i="7"/>
  <c r="B142" i="7"/>
  <c r="B288" i="7"/>
</calcChain>
</file>

<file path=xl/sharedStrings.xml><?xml version="1.0" encoding="utf-8"?>
<sst xmlns="http://schemas.openxmlformats.org/spreadsheetml/2006/main" count="9705" uniqueCount="4617">
  <si>
    <t>World Development Indicators</t>
  </si>
  <si>
    <t>The World Bank</t>
  </si>
  <si>
    <t>World Development Indicators (WDI) is the primary World Bank database for development data from officially recognized international sources.</t>
  </si>
  <si>
    <t>21 March, 2013: The national poverty headcount ratio for Vietnam was revised from 14.2 to 20.7 for the year 2010.</t>
  </si>
  <si>
    <t>6 February, 2013: Youth labor force participation rates for ages 15-24 have been added. [Codes adjusted to SL.TLF.ACTI.1524.FE.ZS, SL.TLF.ACTI.1524.MA.ZS, and SL.TLF.ACTI.1524.ZS after initial publication on 5 February 2013.]</t>
  </si>
  <si>
    <t>28 January, 2013: National poverty data, including urban and rural values, have been updated. These series now only include estimates that to the best of our knowledge are reasonably comparable over time.</t>
  </si>
  <si>
    <t>22 January, 2013: Malnutrition data for height, weight, overweight, and wasting have been corrected. The previous data from December 2012 were for three standard deviations below the median for the international reference population instead of two standard deviations.</t>
  </si>
  <si>
    <t>8 January, 2013: New data for threatened species and missing data for constant value private consumption series for OECD countries have been added. 2012 data only are available now for threatened species. Corrections have been made for balance of payments group data for all years and market capitalization data for United Kingdom and groups for 2011.</t>
  </si>
  <si>
    <r>
      <t xml:space="preserve">21 December, 2012: This update features new external debt data from the newly-released International Debt Statistics publication, updated energy, emissions, freshwater, poverty, immunization, tuberculosis and HIV/AIDS series, and revised national accounts, PPP, balance of payments, monetary and government finance indicators, and education statistics. </t>
    </r>
    <r>
      <rPr>
        <sz val="11"/>
        <color indexed="10"/>
        <rFont val="Calibri"/>
        <family val="2"/>
      </rPr>
      <t>[Note: Even though Global Development Finance (GDF) is no longer listed in the WDI database name and bulk download file names, all external debt and financial flows data continue to be included in WDI. The GDF publication has been renamed International Debt Statistics (IDS), and has its own separate database, as well.]</t>
    </r>
  </si>
  <si>
    <t>31 October, 2012: New 2012 data for Doing Business and Logistic Performance indicators have been released. Net national savings data have been corrected.</t>
  </si>
  <si>
    <t>28 September, 2012: New malnutrition estimates have been jointly released by WHO, UNICEF, and the World Bank. Corrections have been made for rural and urban population series; total population and related per capita indicators for 2010; and 2011 national accounts for Argentina, Colombia, Costa Rica, and Panama.</t>
  </si>
  <si>
    <t>18 September, 2012: New child mortality estimates by the UN Inter-agency group for Child Mortality Estimation (UN IGME) have been released for neonatal, infant and under-five mortality. Other series that have been updated include education statistics, military expenditure, private participation in infrastructure, balance of payments series, monetary indicators, government finance indicators, and PPP related series. GNI and GDP were updated in July, but there are minor updates for some countries, including China.</t>
  </si>
  <si>
    <t xml:space="preserve">19 July, 2012: Aggregate values for literacy have been updated; and a scale correction was made for bank liquid reserves to bank assets ratio. </t>
  </si>
  <si>
    <t>9 July, 2012: 2011 data (plus revised historical data, where necessary) for all countries and groups for population-, GDP- and GNI-related indicators have been released. Other data that have been updated include balance of payments and monetary indicators, water and sanitation, education, CPIA indicators, bilateral aid flows, and logistics performance. Country classification hierarchies and group aggregate data reflect new fiscal year 2013 income classifications. Gibraltar and Mayotte have been removed from the database—Gibraltar's population has fallen below 30,000; and Mayotte became an overseas department of France on March 31, 2011.</t>
  </si>
  <si>
    <t>16 May, 2012: Maternal mortality updates for 2010 and revised historical data have been released to coincide with the publication of "Trends in Maternal Mortality: 1990-2010. Estimates Developed by WHO, UNICEF, UNFPA and the World Bank." A new series for number of maternal mortality deaths has also been added to the database.</t>
  </si>
  <si>
    <t>10 May, 2012: The series unit values for road sector energy consumption per capita (diesel fuel, gasoline fuel, and total) have been corrected to kilograms of oil equivalent per capita.</t>
  </si>
  <si>
    <t>7 May, 2012: PPP conversion factors for Cyprus, Croatia, Latvia, Lithuania, FYR Macedonia, and Malta (for GDP) and Iceland and Ireland (for private consumption) have been corrected. All PPP-related series for these eight countries have also been recalculated.</t>
  </si>
  <si>
    <t>30 April, 2012: Constant price GNI and GNI per capita data (including growth rates) have been corrected to reflect the proper application of deflated factor income values. National poverty updates have also been processed for Burkina Faso, India, Indonesia, Malaysia, Philippines and Tanzania.</t>
  </si>
  <si>
    <t>19 April, 2012: DEC alternative conversion factor and Atlas GNI and GNI per capita data for Cuba for 2009 and 2010 should be blank.</t>
  </si>
  <si>
    <t xml:space="preserve">17 April, 2012: Full WDI update to coincide with publication of the World Development Indicators 2012 book (though some indicators have already been updated beforehand, such as external debt data in December 2011, and poverty data in March 2012). National accounts growth rates and shares data published in December 2011 for some Sub-Saharan Africa countries (most notably Lesotho, Mauritania and Zimbabwe) were not properly aligned with base data. These inconsistencies have been corrected in this release.  </t>
  </si>
  <si>
    <t>27 March, 2012: Aggregate values for lifetime risk of maternal death (1 in: rate varies by country) - SH.MMR.RISK have been rounded to integer values to properly reflect the precision of the country values. South Sudan's population estimate for 2010 has been removed pending review of the data. A new estimate will be published July 1, 2012.</t>
  </si>
  <si>
    <t>9 March, 2012: Poverty data have been updated and revised to 2011. Grants data from OECD have been updated and revised to 2010. Electric power transmission and distribution loss data have been corrected to the proper scale. National accounts data for OECD countries from 1960 to 1969 have been restored. A correction has been made to the national accounts constant price series for United States from 1960 to 1981; group aggregate growth rates for 1981 were also corrected. A correction was also made to Venezuela's constant price manufacturing value added series from 1965 to 1997.</t>
  </si>
  <si>
    <t xml:space="preserve">15 December, 2011: This update features new external debt data, Doing Business and Enterprise Surveys indicators, energy and other environment-related series, immunization and tuberculosis series, and revised national accounts, balance of payments, monetary and government finance indicators, and education statistics. </t>
  </si>
  <si>
    <t>1 December, 2011: Emissions and energy-related data, including twenty new indicators (see highlighted additions on the Series Changes sheet), have been updated to coincide with the release of The Little Data Book on Climate Change.</t>
  </si>
  <si>
    <t>22/27 September, 2011: Corrections were made to FDI net inflows for Turkmenistan for 2007 and 2008, and for Guinea-Bissau and Guyana for 2009 and 2010. These corrections also affected FDI net inflows as a percentage of GDP, as well as aggregate values for both series.</t>
  </si>
  <si>
    <t>19 September, 2011: Population related indicators (which also affects per capita series, such as GNI per capita and GDP per capita) have been revised based on the United Nations World Population Prospects 2010. Other series that have been updated include life expectancy, total fertility rates, mortality indicators, education statistics, poverty and income distribution series (major revisions), balance of payments series, monetary indicators, government finance indicators, PPP related series, trade indices and tariff indicators, FDI and portfolio equity flows, remittance related series, official development assistance and other official flows (from OECD), tourism related indicators, trade within region/outside region related series, and refugee related indicators. GNI and GDP were updated in July, but there are minor updates for some countries.</t>
  </si>
  <si>
    <t>28 July, 2011: 2010 data (plus revised historical data, where necessary) for all countries and groups for population-, GDP- and GNI-related indicators have been released; country classification hierarchies and group aggregate data reflect new fiscal year 2012 income classifications; Netherlands Antilles (ANT) no longer exists; Curacao (CUW), Sint Maarten (Dutch part) (SXM), and St. Martin (French part) (MAF) have been added; the unit descriptions for terrestrial protected areas (% of total land area) - ER.LND.PTLD.ZS  and marine protected areas (% of territorial waters) - ER.MRN.PTMR.ZS have been corrected; 2009 income distribution data for Chile have been corrected; Pakistan's current price data for imports of good and services for 2008 has been corrected, which also affected related trade series and final consumption expenditure figures; the 2000 base year values for adjusted net national income in constant 2000 U.S. dollars have been corrected (the growth rate series was not affected).</t>
  </si>
  <si>
    <t>5 May, 2011: Gini index corrected for Chile, Kyrgyz Republic, Liberia and Seychelles; health expenditure data removed for Somalia; constant price GNI per capita adjusted for Cyprus, France, Georgia, Moldova, Morocco and Tanzania; monetary data (i.e., series beginning with FM and FS codes) corrected for Euro area countries, Turkmenistan and Venezuela, RB.</t>
  </si>
  <si>
    <t>description</t>
  </si>
  <si>
    <t>definition</t>
  </si>
  <si>
    <t>source</t>
  </si>
  <si>
    <t>topic</t>
  </si>
  <si>
    <t>BN.FIN.TOTL.CD</t>
  </si>
  <si>
    <t>Net financial account (BoP, current US$)</t>
  </si>
  <si>
    <t>The net financial account shows net acquisition and disposal of financial assets and liabilities. It measures how net lending to or borrowing from nonresidents is financed, and is conceptually equal to the sum of the balances on the current and capital accounts. Data are in current U.S. dollars.</t>
  </si>
  <si>
    <t>International Monetary Fund, Balance of Payments Statistics Yearbook and data files.</t>
  </si>
  <si>
    <t>Economic Policy &amp; Debt: Balance of payments: Capital &amp; financial account</t>
  </si>
  <si>
    <t>World Bank, Enterprise Surveys (http://www.enterprisesurveys.org/).</t>
  </si>
  <si>
    <t>Private Sector &amp; Trade: Business environment</t>
  </si>
  <si>
    <t>World Bank national accounts data, and OECD National Accounts data files.</t>
  </si>
  <si>
    <t>World Health Organization's Worldwide Prevalence of Anemia, and Integrated WHO Nutrition Global Databases.</t>
  </si>
  <si>
    <t>Health: Nutrition</t>
  </si>
  <si>
    <t>SH.DTH.COMM.ZS</t>
  </si>
  <si>
    <t>Cause of death, by communicable diseases and maternal, prenatal and nutrition conditions (% of total)</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</si>
  <si>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</si>
  <si>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Derived based on the data from WHO's World Health Statistics.</t>
  </si>
  <si>
    <t>Health: Risk factors</t>
  </si>
  <si>
    <t>SH.DTH.INJR.ZS</t>
  </si>
  <si>
    <t>Cause of death, by injury (% of total)</t>
  </si>
  <si>
    <t>Cause of death refers to the share of all deaths for all ages by underlying causes. Injuries include unintentional and intentional injuries.</t>
  </si>
  <si>
    <t>SH.DTH.NCOM.ZS</t>
  </si>
  <si>
    <t>Cause of death, by non-communicable diseases (% of total)</t>
  </si>
  <si>
    <t>Cause of death refers to the share of all deaths for all ages by underlying causes. Non-communicable diseases include cancer, diabetes mellitus, cardiovascular diseases, digestive diseases, skin diseases, musculoskeletal diseases, and congenital anomalies.</t>
  </si>
  <si>
    <t>SH.DYN.MORT.FE</t>
  </si>
  <si>
    <t>Mortality rate, under-5, female (per 1,000 live births)</t>
  </si>
  <si>
    <t>Under-five mortality rate is the probability per 1,000 that a newborn baby will die before reaching age five, if subject to current age-specific mortality rates.</t>
  </si>
  <si>
    <t>Level &amp; Trends in Child Mortality. Estimates Developed by the UN Inter-agency Group for Child Mortality Estimation (UNICEF, WHO, World Bank, UN DESA, UNPD).</t>
  </si>
  <si>
    <t>Health: Mortality</t>
  </si>
  <si>
    <t>SH.DYN.MORT.MA</t>
  </si>
  <si>
    <t>Mortality rate, under-5, male (per 1,000 live births)</t>
  </si>
  <si>
    <t>SH.PRG.ANEM</t>
  </si>
  <si>
    <t>Prevalence of anemia among pregnant women (%)</t>
  </si>
  <si>
    <t>Prevalence of anemia, pregnant women, is the percentage of pregnant women whose hemoglobin level is less than 110 grams per liter at sea level.</t>
  </si>
  <si>
    <t>SH.STA.DIAB.ZS</t>
  </si>
  <si>
    <t>Diabetes prevalence (% of population ages 20 to 79)</t>
  </si>
  <si>
    <t>Diabetes prevalence refers to the percentage of people ages 20-79 who have type 1 or type 2 diabetes.</t>
  </si>
  <si>
    <t>International Diabetes Federation, Diabetes Atlas.</t>
  </si>
  <si>
    <t>SH.STA.MALN.FE.ZS</t>
  </si>
  <si>
    <t>Malnutrition prevalence, weight for age, female (% of children under 5)</t>
  </si>
  <si>
    <t>Prevalence of child malnutrition is the percentage of children under age 5 whose weight for age is more than two standard deviations below the median for the international reference population ages 0-59 months. The data are based on the WHO's new child growth standards released in 2006.</t>
  </si>
  <si>
    <t>World Health Organization, Global Database on Child Growth and Malnutrition.</t>
  </si>
  <si>
    <t>SH.STA.MALN.MA.ZS</t>
  </si>
  <si>
    <t>Malnutrition prevalence, weight for age, male (% of children under 5)</t>
  </si>
  <si>
    <t>SH.STA.OWGH.FE.ZS</t>
  </si>
  <si>
    <t>Prevalence of overweight, female (% of children under 5)</t>
  </si>
  <si>
    <t>Prevalence of overweight children is the percentage of children under age 5 whose weight for height is more than two standard deviations above the median for the international reference population of the corresponding age as established by the WHO's new child growth standards released in 2006.</t>
  </si>
  <si>
    <t>SH.STA.OWGH.MA.ZS</t>
  </si>
  <si>
    <t>Prevalence of overweight, male (% of children under 5)</t>
  </si>
  <si>
    <t>SH.STA.STNT.FE.ZS</t>
  </si>
  <si>
    <t>Malnutrition prevalence, height for age, female (% of children under 5)</t>
  </si>
  <si>
    <t>Prevalence of child malnutrition is the percentage of children under age 5 whose height for age (stunting)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new child growth standards released in 2006.</t>
  </si>
  <si>
    <t>SH.STA.STNT.MA.ZS</t>
  </si>
  <si>
    <t>Malnutrition prevalence, height for age, male (% of children under 5)</t>
  </si>
  <si>
    <t>SH.STA.WAST.FE.ZS</t>
  </si>
  <si>
    <t>Prevalence of wasting, female (% of children under 5)</t>
  </si>
  <si>
    <t>Wasting prevalence is the proportion of children under five whose weight for height is more than two standard deviations below the median for the international reference population ages 0-59.</t>
  </si>
  <si>
    <t>SH.STA.WAST.MA.ZS</t>
  </si>
  <si>
    <t>Prevalence of wasting, male (% of children under 5)</t>
  </si>
  <si>
    <t>SL.FAM.0714.ZS</t>
  </si>
  <si>
    <t>Children in employment, unpaid family workers (% of children in employment, ages 7-14)</t>
  </si>
  <si>
    <t>Unpaid family workers are people who work without pay in a market-oriented establishment operated by a related person living in the same household.</t>
  </si>
  <si>
    <t>Understanding Children's Work project based on data from ILO, UNICEF and the World Bank.</t>
  </si>
  <si>
    <t>Labor &amp; Social Protection: Economic activity</t>
  </si>
  <si>
    <t>SL.SLF.0714.ZS</t>
  </si>
  <si>
    <t>Children in employment, self-employed (% of children in employment, ages 7-14)</t>
  </si>
  <si>
    <t>Self-employed workers are people whose remuneration depends directly on the profits derived from the goods and services they produce, with or without other employees, and include employers, own-account workers, and members of producers cooperatives.</t>
  </si>
  <si>
    <t>SL.WAG.0714.ZS</t>
  </si>
  <si>
    <t>Children in employment, wage workers (% of children in employment, ages 7-14)</t>
  </si>
  <si>
    <t>Wage workers (also known as employees) are people who hold explicit (written or oral) or implicit employment contracts that provide basic remuneration that does not depend directly on the revenue of the unit for which they work.</t>
  </si>
  <si>
    <t>SN.ITK.DFCT</t>
  </si>
  <si>
    <t>Depth of the food deficit (kilocalories per person per day)</t>
  </si>
  <si>
    <t>The depth of the food deficit indicates how many calories would be needed to lift the undernourished from their status, everything else being constant. The average intensity of food deprivation of the undernourished, estimated as the difference between the average dietary energy requirement and the average dietary energy consumption of the undernourished population (food-deprived), is multiplied by the number of undernourished to provide an estimate of the total food deficit in the country, which is then normalized by the total population.</t>
  </si>
  <si>
    <t>Food and Agriculture Organization, The State of Food Insecurity in the World (http://www.fao.org/publications/sofi/food-security-indicators/en/).</t>
  </si>
  <si>
    <t>BN.KLT.PRVT.CD</t>
  </si>
  <si>
    <t>Private capital flows, total (BoP, current US$)</t>
  </si>
  <si>
    <t>BN.KLT.PRVT.GD.ZS</t>
  </si>
  <si>
    <t>Private capital flows, total (% of GDP)</t>
  </si>
  <si>
    <t>SN.ITK.DPTH</t>
  </si>
  <si>
    <t>Depth of hunger (kilocalories per person per day)</t>
  </si>
  <si>
    <t>IC.EMP.FIRE.WK</t>
  </si>
  <si>
    <t>Firing cost (weeks of wages)</t>
  </si>
  <si>
    <t>IT.PRT.NEWS.P3</t>
  </si>
  <si>
    <t>Daily newspapers (per 1,000 people)</t>
  </si>
  <si>
    <t>Change in code (0)</t>
  </si>
  <si>
    <t>new code</t>
  </si>
  <si>
    <t>old description</t>
  </si>
  <si>
    <t>new description</t>
  </si>
  <si>
    <t>BM.GSR.FCTY.CD</t>
  </si>
  <si>
    <t>Income payments (BoP, current US$)</t>
  </si>
  <si>
    <t>Primary income payments (BoP, current US$)</t>
  </si>
  <si>
    <t>BM.GSR.ROYL.CD</t>
  </si>
  <si>
    <t>Royalty and license fees, payments (BoP, current US$)</t>
  </si>
  <si>
    <t>Charges for the use of intellectual property, payments (BoP, current US$)</t>
  </si>
  <si>
    <t>BM.GSR.TOTL.CD</t>
  </si>
  <si>
    <t>Imports of goods, services and income (BoP, current US$)</t>
  </si>
  <si>
    <t>Imports of goods, services and primary income (BoP, current US$)</t>
  </si>
  <si>
    <t>BM.TRF.PRVT.CD</t>
  </si>
  <si>
    <t>Private current transfers, payments (BoP, current US$)</t>
  </si>
  <si>
    <t>Secondary income, other sectors, payments (BoP, current US$)</t>
  </si>
  <si>
    <t>BM.TRF.PWKR.CD.DT</t>
  </si>
  <si>
    <t>Personal transfers and compensation of employees, paid (current US$)</t>
  </si>
  <si>
    <t>Personal remittances, paid (current US$)</t>
  </si>
  <si>
    <t>BN.GSR.FCTY.CD</t>
  </si>
  <si>
    <t>Net income (BoP, current US$)</t>
  </si>
  <si>
    <t>Net primary income (BoP, current US$)</t>
  </si>
  <si>
    <t>BN.KAC.EOMS.CD</t>
  </si>
  <si>
    <t>Net errors and omissions, adjusted (BoP, current US$)</t>
  </si>
  <si>
    <t>Net errors and omissions (BoP, current US$)</t>
  </si>
  <si>
    <t>BN.KLT.PTXL.CD</t>
  </si>
  <si>
    <t>Portfolio investment, excluding LCFAR (BoP, current US$)</t>
  </si>
  <si>
    <t>Portfolio Investment, net (BoP, current US$)</t>
  </si>
  <si>
    <t>BN.RES.INCL.CD</t>
  </si>
  <si>
    <t>Changes in net reserves (BoP, current US$)</t>
  </si>
  <si>
    <t>Reserves and related items (BoP, current US$)</t>
  </si>
  <si>
    <t>BN.TRF.CURR.CD</t>
  </si>
  <si>
    <t>Net current transfers (BoP, current US$)</t>
  </si>
  <si>
    <t>Net secondary income (BoP, current US$)</t>
  </si>
  <si>
    <t>BX.GSR.FCTY.CD</t>
  </si>
  <si>
    <t>Income receipts (BoP, current US$)</t>
  </si>
  <si>
    <t>Primary income receipts (BoP, current US$)</t>
  </si>
  <si>
    <t>BX.GSR.ROYL.CD</t>
  </si>
  <si>
    <t>Royalty and license fees, receipts (BoP, current US$)</t>
  </si>
  <si>
    <t>Charges for the use of intellectual property, receipts (BoP, current US$)</t>
  </si>
  <si>
    <t>BX.GSR.TOTL.CD</t>
  </si>
  <si>
    <t>Exports of goods, services and income (BoP, current US$)</t>
  </si>
  <si>
    <t>Exports of goods, services and primary income (BoP, current US$)</t>
  </si>
  <si>
    <t>BX.TRF.CURR.CD</t>
  </si>
  <si>
    <t>Current transfers, receipts (BoP, current US$)</t>
  </si>
  <si>
    <t>Secondary income receipts (BoP, current US$)</t>
  </si>
  <si>
    <t>BX.TRF.PWKR.CD</t>
  </si>
  <si>
    <t>Workers' remittances, receipts (BoP, current US$)</t>
  </si>
  <si>
    <t>Personal transfers, receipts (BoP, current US$)</t>
  </si>
  <si>
    <t>BX.TRF.PWKR.CD.DT</t>
  </si>
  <si>
    <t>Personal transfers and compensation of employees, received (current US$)</t>
  </si>
  <si>
    <t>Personal remittances, received (current US$)</t>
  </si>
  <si>
    <t>BX.TRF.PWKR.DT.GD.ZS</t>
  </si>
  <si>
    <t>Personal transfers and compensation of employees, received (% of GDP)</t>
  </si>
  <si>
    <t>Personal remittances, received (% of GDP)</t>
  </si>
  <si>
    <t>DT.DOD.DECT.EX.ZS</t>
  </si>
  <si>
    <t>External debt stocks (% of exports of goods, services and income)</t>
  </si>
  <si>
    <t>External debt stocks (% of exports of goods, services and primary income)</t>
  </si>
  <si>
    <t>DT.DOD.DSTC.XP.ZS</t>
  </si>
  <si>
    <t>Short-term debt (% of exports of goods, services and income)</t>
  </si>
  <si>
    <t>Short-term debt (% of exports of goods, services and primary income)</t>
  </si>
  <si>
    <t>DT.ODA.ODAT.MP.ZS</t>
  </si>
  <si>
    <t>Net ODA received (% of imports of goods and services)</t>
  </si>
  <si>
    <t>Net ODA received (% of imports of goods, services and primary income)</t>
  </si>
  <si>
    <t>DT.INT.DECT.EX.ZS</t>
  </si>
  <si>
    <t>Interest payments on external debt (% of exports of goods, services and income)</t>
  </si>
  <si>
    <t>Interest payments on external debt (% of exports of goods, services and primary income)</t>
  </si>
  <si>
    <t>DT.TDS.DECT.EX.ZS</t>
  </si>
  <si>
    <t>Total debt service (% of exports of goods, services and income)</t>
  </si>
  <si>
    <t>Total debt service (% of exports of goods, services and primary income)</t>
  </si>
  <si>
    <t>DT.TDS.DPPF.XP.ZS</t>
  </si>
  <si>
    <t>Debt service (PPG and IMF only, % of exports, excluding workers' remittances)</t>
  </si>
  <si>
    <t>Debt service (PPG and IMF only, % of exports of goods, services and primary income)</t>
  </si>
  <si>
    <t>DT.TDS.DPPG.XP.ZS</t>
  </si>
  <si>
    <t>Public and publicly guaranteed debt service (% of exports, excluding workers' remittances)</t>
  </si>
  <si>
    <t>Public and publicly guaranteed debt service (% of exports of goods, services and primary income)</t>
  </si>
  <si>
    <t>SE.PRM.GINT.FE.ZS</t>
  </si>
  <si>
    <t>Gross intake rate in grade 1, female (% of relevant age group)</t>
  </si>
  <si>
    <t>Gross intake ratio in first grade of primary education, female (% of relevant age group)</t>
  </si>
  <si>
    <t>SE.PRM.GINT.MA.ZS</t>
  </si>
  <si>
    <t>Gross intake rate in grade 1, male (% of relevant age group)</t>
  </si>
  <si>
    <t>Gross intake ratio in first grade of primary education, male (% of relevant age group)</t>
  </si>
  <si>
    <t>SE.PRM.GINT.ZS</t>
  </si>
  <si>
    <t>Gross intake rate in grade 1, total (% of relevant age group)</t>
  </si>
  <si>
    <t>Gross intake ratio in first grade of primary education, total (% of relevant age group)</t>
  </si>
  <si>
    <t>old definition</t>
  </si>
  <si>
    <t>new definition</t>
  </si>
  <si>
    <t>BM.GSR.CMCP.ZS</t>
  </si>
  <si>
    <t>Communications, computer, information, and other services (% of service imports, BoP) cover international telecommunications and postal and courier services; computer data; news-related service transactions between residents and nonresidents; construction services; royalties and license fees; miscellaneous business, professional, and technical services; personal, cultural, and recreational services; and government services not included elsewhere. Services imports refer to economic output of intangible commodities that may be produced, transferred, and consumed at the same time. International transactions in services are defined by the International Monetary Fund's (IMF) Balance of Payments Manual (1993), but definitions may nevertheless vary among reporting economies.</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</si>
  <si>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t>
  </si>
  <si>
    <t>Income payments refer to employee compensation paid to nonresident workers and investment income (payments on direct investment, portfolio investment, other investments). Income derived from the use of intangible assets is excluded from income and recorded under business services. Data are in current U.S. dollars.</t>
  </si>
  <si>
    <t>Primary income payments refer to employee compensation paid to nonresident workers and investment income (payments on direct investment, portfolio investment, other investments). Data are in current U.S. dollars.</t>
  </si>
  <si>
    <t>BM.GSR.GNFS.CD</t>
  </si>
  <si>
    <t>Imports of goods and services comprise all transactions between residents of a country and the rest of the world involving a change of ownership from nonresidents to residents of general merchandise, goods sent for processing and repairs, nonmonetary gold, and services. Data are in current U.S. dollars.</t>
  </si>
  <si>
    <t>Imports of goods and services comprise all transactions between residents of a country and the rest of the world involving a change of ownership from nonresidents to residents of general merchandise, nonmonetary gold, and services. Data are in current U.S. dollars.</t>
  </si>
  <si>
    <t>BM.GSR.INSF.ZS</t>
  </si>
  <si>
    <t>Insurance and financial services (% of service imports, BoP) cover various types of insurance provided to nonresidents by resident insurance enterprises and vice versa, and financial intermediary and auxiliary services (except those of insurance enterprises and pension funds) exchanged between residents and nonresidents. Services imports refer to economic output of intangible commodities that may be produced, transferred, and consumed at the same time. International transactions in services are defined by the International Monetary Fund's (IMF) Balance of Payments Manual (1993), but definitions may nevertheless vary among reporting economies.</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</si>
  <si>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t>
  </si>
  <si>
    <t>BM.GSR.MRCH.CD</t>
  </si>
  <si>
    <t>Goods imports refer to all movable goods (including nonmonetary gold) involved in a change of ownership from nonresidents to residents. The category includes goods previously included in services: goods received or sent for processing and their subsequent export or import in the form of processed goods, repairs on goods, and goods procured in ports by carriers. Data are in current U.S. dollars.</t>
  </si>
  <si>
    <t>Goods imports refer to all movable goods (including nonmonetary gold) involved in a change of ownership from nonresidents to residents. Data are in current U.S. dollars.</t>
  </si>
  <si>
    <t>BM.GSR.NFSV.CD</t>
  </si>
  <si>
    <t>Services (previously nonfactor services) refer to economic output of intangible commodities that may be produced, transferred, and consumed at the same time. International transactions in services are defined by the IMF's Balance of Payments Manual (1993), but definitions may nevertheless vary among reporting economies. Data are in current U.S. dollars.</t>
  </si>
  <si>
    <t>Services refer to economic output of intangible commodities that may be produced, transferred, and consumed at the same time. Data are in current U.S. dollars.</t>
  </si>
  <si>
    <t>Royalty and license fees are payments and receipts between residents and nonresidents for the authorized use of intangible, nonproduced, nonfinancial assets and proprietary rights (such as patents, copyrights, trademarks, industrial processes, and franchises) and for the use, through licensing agreements, of produced originals of prototypes (such as films and manuscripts). Data are in current U.S. dollars.</t>
  </si>
  <si>
    <t>Charges for the use of intellectual property are payments and receipts between residents and nonresidents for the authorized use of proprietary rights (such as patents, trademarks, copyrights, industrial processes and designs including trade secrets, and franchises) and for the use, through licensing agreements, of produced originals or prototypes (such as copyrights on books and manuscripts, computer software, cinematographic works, and sound recordings) and related rights (such as for live performances and television, cable, or satellite broadcast). Data are in current U.S. dollars.</t>
  </si>
  <si>
    <t>Imports of goods, services and income is the sum of goods (merchandise) imports, imports of (nonfactor) services and income (factor) payments. Data are in current U.S. dollars.</t>
  </si>
  <si>
    <t>Imports of goods, services and primary income is the sum of goods imports, service imports and primary income payments. Data are in current U.S. dollars.</t>
  </si>
  <si>
    <t>BM.GSR.TRAN.ZS</t>
  </si>
  <si>
    <t>Transport (% of service imports, BoP) covers all transport services (sea, air, land, internal waterway, space, and pipeline) performed by residents of one economy for those of another and involving the carriage of passengers, the movement of goods (freight), rental of carriers with crew, and related support and auxiliary services. Excluded are freight insurance, which is included in insurance services; goods procured in ports by nonresident carriers and repairs of transport equipment, which are included in goods; repairs of railway facilities, harbors, and airfield facilities, which are included in construction services; and rental of carriers without crew, which is included in other services. Services imports refer to economic output of intangible commodities that may be produced, transferred, and consumed at the same time. International transactions in services are defined by the International Monetary Fund's (IMF) Balance of Payments Manual (1993), but definitions may nevertheless vary among reporting economies.</t>
  </si>
  <si>
    <t>Transport covers all transport services (sea, air, land, internal waterway, pipeline, space and electricity transmission) performed by residents of one economy for those of another and involving the carriage of passengers, the movement of goods (freight), rental of carriers with crew, and related support and auxiliary services. Also included are postal and courier services. Excluded are freight insurance (included in insurance services); goods procured in ports by nonresident carriers (included in goods); maintenance and repairs on transport equipment (included in maintenance and repair services n.i.e.); and repairs of railway facilities, harbors, and airfield facilities (included in construction).</t>
  </si>
  <si>
    <t>BM.GSR.TRVL.ZS</t>
  </si>
  <si>
    <t>Travel (% of service imports, BoP) covers goods and services acquired from an economy by travelers for their own use during visits of less than one year in that economy for either business or personal purposes. Services imports refer to economic output of intangible commodities that may be produced, transferred, and consumed at the same time. International transactions in services are defined by the International Monetary Fund's (IMF) Balance of Payments Manual (1993), but definitions may nevertheless vary among reporting economies.</t>
  </si>
  <si>
    <t>Travel covers goods and services acquired from an economy by travelers for their own use during visits of less than one year in that economy for either business or personal purposes. Travel includes local transport (i.e., transport within the economy being visited and provided by a resident of that economy), but excludes international transport (which is included in passenger transport. Travel also excludes goods for resale, which are included in general merchandise.</t>
  </si>
  <si>
    <t>Current transfers are recorded in the balance of payments whenever an economy provides or receives goods, services, income, or financial items without a quid pro quo. All transfers not considered to be capital are current. Data are in current U.S. dollars.</t>
  </si>
  <si>
    <t>Secondary income refers to transfers recorded in the balance of payments whenever an economy provides or receives goods, services, income, or financial items without a quid pro quo. All transfers not considered to be capital are current. Data are in current U.S. dollars.</t>
  </si>
  <si>
    <t>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workers' remittances, compensation of employees, and migrants' transfers. Data are in current U.S. dollars.</t>
  </si>
  <si>
    <t xml:space="preserve">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 
 </t>
  </si>
  <si>
    <t>BN.CAB.XOKA.CD</t>
  </si>
  <si>
    <t>Current account balance is the sum of net exports of goods, services, net income, and net current transfers. Data are in current U.S. dollars.</t>
  </si>
  <si>
    <t>Current account balance is the sum of net exports of goods and services, net primary income, and net secondary income. Data are in current U.S. dollars.</t>
  </si>
  <si>
    <t>BN.CAB.XOKA.GD.ZS</t>
  </si>
  <si>
    <t>Current account balance is the sum of net exports of goods, services, net income, and net current transfers.</t>
  </si>
  <si>
    <t>Current account balance is the sum of net exports of goods and services, net primary income, and net secondary income.</t>
  </si>
  <si>
    <t>Net income refers to receipts and payments of employee compensation paid to nonresident workers and investment income (receipts and payments on direct investment, portfolio investment, other investments, and receipts on reserve assets). Income derived from the use of intangible assets is recorded under business services. Data are in current U.S. dollars.</t>
  </si>
  <si>
    <t>Net primary income refers to receipts and payments of employee compensation paid to nonresident workers and investment income (receipts and payments on direct investment, portfolio investment, other investments, and receipts on reserve assets). Data are in current U.S. dollars.</t>
  </si>
  <si>
    <t>BN.GSR.MRCH.CD</t>
  </si>
  <si>
    <t>Net trade in goods is the difference between exports and imports of goods. The category includes goods previously included in services: goods received or sent for processing and their subsequent export or import in the form of processed goods, repairs on goods, and goods procured in ports by carriers. Trade in services is not included. Data are in current U.S. dollars.</t>
  </si>
  <si>
    <t>Net trade in goods is the difference between exports and imports of goods. Trade in services is not included. Data are in current U.S. dollars.</t>
  </si>
  <si>
    <t>Net errors and omissions constitute a residual category needed to ensure that all debit and credit entries in the balance of payments statement sum to zero. In the International Financial Statistics presentation, this is equal to the difference between reserves and related items and the sum of the balances of the current, capital, and financial accounts. Data are in current U.S. dollars.</t>
  </si>
  <si>
    <t>Net errors and omissions constitute a residual category needed to ensure that accounts in the balance of payments statement sum to zero. Net errors and omissions are derived as the balance on the financial account minus the balances on the current and capital accounts. Data are in current U.S. dollars.</t>
  </si>
  <si>
    <t>BN.KLT.DINV.CD</t>
  </si>
  <si>
    <t>Foreign direct investment is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total net, that is, net FDI in the reporting economy from foreign sources less net FDI by the reporting economy to the rest of the world. Data are in current U.S. dollars.</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</si>
  <si>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total net, that is, net FDI in the reporting economy from foreign sources less net FDI by the reporting economy to the rest of the world. Data are in current U.S. dollars.</t>
  </si>
  <si>
    <t>Private capital flows consist of net foreign direct investment and portfolio investment. Foreign direct investment is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The FDI included here is total net, that is, net FDI in the reporting economy from foreign sources less net FDI by the reporting economy to the rest of the world. Portfolio investment excludes liabilities constituting foreign authorities' reserves and covers transactions in equity securities and debt securities. Data are in current U.S. dollars.</t>
  </si>
  <si>
    <t>Private capital flows consist of net foreign direct investment and portfolio investment. Foreign direct investment is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The FDI included here is total net, that is, net FDI in the reporting economy from foreign sources less net FDI by the reporting economy to the rest of the world. Portfolio investment covers transactions in equity securities and debt securities. Data are in current U.S. dollars.</t>
  </si>
  <si>
    <t>Private capital flows consist of net foreign direct investment and portfolio investment. Foreign direct investment is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The FDI included here is total net, that is, net FDI in the reporting economy from foreign sources less net FDI by the reporting economy to the rest of the world. Portfolio investment excludes liabilities constituting foreign authorities' reserves and covers transactions in equity securities and debt securities.</t>
  </si>
  <si>
    <t>Private capital flows consist of net foreign direct investment and portfolio investment. Foreign direct investment is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The FDI included here is total net, that is, net FDI in the reporting economy from foreign sources less net FDI by the reporting economy to the rest of the world. Portfolio investment covers transactions in equity securities and debt securities.</t>
  </si>
  <si>
    <t>Portfolio investment excluding liabilities constituting foreign authorities' reserves covers transactions in equity securities and debt securities. Data are in current U.S. dollars.</t>
  </si>
  <si>
    <t>Portfolio investment covers transactions in equity securities and debt securities. Data are in current U.S. dollars.</t>
  </si>
  <si>
    <t>Changes in net reserves is the net change in a country's holdings of international reserves resulting from transactions on the current, capital, and financial accounts. These include changes in holdings of monetary gold, SDRs, foreign exchange assets, reserve position in the International Monetary Fund, and other claims on nonresidents that are available to the central authority. The measure is net of liabilities constituting foreign authorities' reserves, and counterpart items for valuation changes and exceptional financing items. Data are in current U.S. dollars.</t>
  </si>
  <si>
    <t>Reserves and related items is the net change in a country's holdings of international reserves resulting from transactions on the current, capital, and financial accounts. Reserve assets are those external assets that are readily available to and controlled by monetary authorities for meeting balance of payments financing needs, and include holdings of monetary gold, special drawing rights (SDRs), reserve position in the International Monetary Fund (IMF), and other reserve assets. Also included are net credit and loans from the IMF (excluding reserve position) and total exceptional financing. Data are in current U.S. dollars.</t>
  </si>
  <si>
    <t>Net current transfers are recorded in the balance of payments whenever an economy provides or receives goods, services, income, or financial items without a quid pro quo. All transfers not considered to be capital are current. Data are in current U.S. dollars.</t>
  </si>
  <si>
    <t>BN.TRF.KOGT.CD</t>
  </si>
  <si>
    <t>Net capital account includes government debt forgiveness, investment grants in cash or in kind by a government entity, and taxes on capital transfers. Also included are migrants' capital transfers and debt forgiveness and investment grants by nongovernmental entities. Data are in current U.S. dollars.</t>
  </si>
  <si>
    <t>Net capital account records acquisitions and disposals of nonproduced nonfinancial assets, such as land sold to embassies and sales of leases and licenses, as well as capital transfers, including government debt forgiveness. The use of the term capital account in this context is designed to be consistent with the System of National Accounts, which distinguishes between capital transactions and financial transactions. Data are in current U.S. dollars.</t>
  </si>
  <si>
    <t>BX.GSR.CCIS.CD</t>
  </si>
  <si>
    <t>Information and communication technology service exports include computer and communications services (telecommunications and postal and courier services) and information services (computer data and news-related service transactions).</t>
  </si>
  <si>
    <t>Information and communication technology service exports include computer and communications services (telecommunications and postal and courier services) and information services (computer data and news-related service transactions). Data are in current U.S. dollars.</t>
  </si>
  <si>
    <t>BX.GSR.CMCP.ZS</t>
  </si>
  <si>
    <t>Communications, computer, information, and other services (% of service exports, BoP) cover international telecommunications and postal and courier services; computer data; news-related service transactions between residents and nonresidents; construction services; royalties and license fees; miscellaneous business, professional, and technical services; personal, cultural, and recreational services; and government services not included elsewhere. Service exports refer to economic output of intangible commodities that may be produced, transferred, and consumed at the same time. International transactions in services are defined by the IMF's Balance of Payments Manual (1993), but definitions may nevertheless vary among reporting economies.</t>
  </si>
  <si>
    <t>Income receipts refer to employee compensation paid to resident workers working abroad and investment income (receipts on direct investment, portfolio investment, other investments, and receipts on reserve assets). Income derived from the use of intangible assets is excluded from income and recorded under business services. Data are in current U.S. dollars.</t>
  </si>
  <si>
    <t>Primary income receipts refer to employee compensation paid to resident workers working abroad and investment income (receipts on direct investment, portfolio investment, other investments, and receipts on reserve assets). Data are in current U.S. dollars.</t>
  </si>
  <si>
    <t>BX.GSR.GNFS.CD</t>
  </si>
  <si>
    <t>Exports of goods and services comprise all transactions between residents of a country and the rest of the world involving a change of ownership from residents to nonresidents of general merchandise, goods sent for processing and repairs, nonmonetary gold, and services. Data are in current U.S. dollars.</t>
  </si>
  <si>
    <t>Exports of goods and services comprise all transactions between residents of a country and the rest of the world involving a change of ownership from residents to nonresidents of general merchandise, net exports of goods under merchanting, nonmonetary gold, and services. Data are in current U.S. dollars.</t>
  </si>
  <si>
    <t>BX.GSR.INSF.ZS</t>
  </si>
  <si>
    <t>Insurance and financial services (% of service exports, BoP) cover various types of insurance provided to nonresidents by resident insurance enterprises and vice versa, and financial intermediary and auxiliary services (except those of insurance enterprises and pension funds) exchanged between residents and nonresidents. Service exports refer to economic output of intangible commodities that may be produced, transferred, and consumed at the same time. International transactions in services are defined by the IMF's Balance of Payments Manual (1993), but definitions may nevertheless vary among reporting economies.</t>
  </si>
  <si>
    <t>BX.GSR.MRCH.CD</t>
  </si>
  <si>
    <t>Goods exports refer to all movable goods (including nonmonetary gold) involved in a change of ownership from residents to nonresidents. The category includes goods previously included in services: goods received or sent for processing and their subsequent export or import in the form of processed goods, repairs on goods, and goods procured in ports by carriers. Data are in current U.S. dollars.</t>
  </si>
  <si>
    <t>Goods exports refer to all movable goods (including nonmonetary gold and net exports of goods under merchanting) involved in a change of ownership from residents to nonresidents. Data are in current U.S. dollars.</t>
  </si>
  <si>
    <t>BX.GSR.NFSV.CD</t>
  </si>
  <si>
    <t>Exports of goods, services and income is the sum of goods (merchandise) exports, exports of (nonfactor) services and income (factor) receipts. Data are in current U.S. dollars.</t>
  </si>
  <si>
    <t>Exports of goods, services and primary income is the sum of goods exports, service exports and primary income receipts. Data are in current U.S. dollars.</t>
  </si>
  <si>
    <t>BX.GSR.TRAN.ZS</t>
  </si>
  <si>
    <t>Transport (% of service exports, BoP) covers all transport services (sea, air, land, internal waterway, space, and pipeline) performed by residents of one economy for those of another and involving the carriage of passengers, movement of goods (freight), rental of carriers with crew, and related support and auxiliary services. Excluded are freight insurance, which is included in insurance services; goods procured in ports by nonresident carriers and repairs of transport equipment, which are included in goods; repairs of railway facilities, harbors, and airfield facilities, which are included in construction services; and rental of carriers without crew, which is included in other services. Service exports refer to economic output of intangible commodities that may be produced, transferred, and consumed at the same time. International transactions in services are defined by the IMF's Balance of Payments Manual (1993), but definitions may nevertheless vary among reporting economies.</t>
  </si>
  <si>
    <t>BX.GSR.TRVL.ZS</t>
  </si>
  <si>
    <t>Travel (% of service exports, BoP) covers goods and services acquired from an economy by travelers for their own use during visits of less than one year in that economy for either business or personal purposes. Service exports refer to economic output of intangible commodities that may be produced, transferred, and consumed at the same time. International transactions in services are defined by the IMF's Balance of Payments Manual (1993), but definitions may nevertheless vary among reporting economies.</t>
  </si>
  <si>
    <t>Current transfers (receipts) are recorded in the balance of payments whenever an economy receives goods, services, income, or financial items without a quid pro quo. All transfers not considered to be capital are current. Data are in current U.S. dollars.</t>
  </si>
  <si>
    <t>Workers' remittances are current transfers by migrants who are employed or intend to remain employed for more than a year in another economy in which they are considered residents. Some developing countries classify workers' remittances as a factor income receipt (and thus as a component of GNI). The World Bank adheres to international guidelines in defining GNI, and its classification of workers' remittances may therefore differ from national practices. This item shows receipts by the reporting country. Data are in current U.S. dollars.</t>
  </si>
  <si>
    <t>Personal transfers consist of all current transfers in cash or in kind made or received by resident households to or from nonresident households. Personal transfers thus include all current transfers between resident and nonresident individuals. Data are in current U.S. dollars.</t>
  </si>
  <si>
    <t xml:space="preserve">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t>
  </si>
  <si>
    <t>Debt service is the sum of principle repayments and interest actually paid in foreign currency, goods, or services. This series differs from the standard debt to exports series. It covers only long-term public and publicly guaranteed debt and repayments (repurchases and charges) to the IMF. Exports of goods and services include income, but do not include workers' remittances. Data for Heavily Indebted Poor Countries (HIPC) are from HIPC Initiative's Status of Implementation Report.</t>
  </si>
  <si>
    <t>Debt service is the sum of principle repayments and interest actually paid in foreign currency, goods, or services. This series differs from the standard debt to exports series. It covers only long-term public and publicly guaranteed debt and repayments (repurchases and charges) to the IMF. Data for Heavily Indebted Poor Countries (HIPC) are from HIPC Initiative's Status of Implementation Report.</t>
  </si>
  <si>
    <t>NY.GNP.MKTP.PP.CD</t>
  </si>
  <si>
    <t>PPP GNI (formerly PPP GNP) is gross national income converted to international dollars using purchasing power parity rates. An international dollar has the same purchasing power over GNI as a U.S. dollar has in the United States. Gross national income (GNI) is the sum of value added by all resident producers plus any product taxes (less subsidies) not included in the valuation of output plus net receipts of primary income (compensation of employees and property income) from abroad. Data are in current international dollars.</t>
  </si>
  <si>
    <t>PPP GNI (formerly PPP GNP) is gross national income (GNI) converted to international dollars using purchasing power parity rates. An international dollar has the same purchasing power over GNI as a U.S. dollar has in the United States. Gross national income is the sum of value added by all resident producers plus any product taxes (less subsidies) not included in the valuation of output plus net receipts of primary income (compensation of employees and property income) from abroad. Data are in current international dollars.</t>
  </si>
  <si>
    <t>Gross intake rate in grade 1 is the number of new entrants in the first grade of primary education regardless of age, expressed as a percentage of the population of the official primary entrance age.</t>
  </si>
  <si>
    <t>Gross intake ratio in first grade of primary education is the number of new entrants in the first grade of primary education regardless of age, expressed as a percentage of the population of the official primary entrance age.</t>
  </si>
  <si>
    <t>SH.DYN.AIDS.FE.ZS</t>
  </si>
  <si>
    <t>Prevalence of HIV is the percentage of people who are infected with HIV. Female rate is as a percentage of the total population with HIV.</t>
  </si>
  <si>
    <t>Prevalence of HIV is the percentage of people who are infected with HIV. Female rate is as a percentage of the total population ages 15+ who are living with HIV.</t>
  </si>
  <si>
    <t>SH.HIV.ARTC.ZS</t>
  </si>
  <si>
    <t>Antiretroviral therapy coverage indicates the percentage of adults and children with advanced HIV infection currently receiving antiretroviral therapy according to nationally approved treatment protocols (or WHO/Joint UN Programme on HIV and AIDS standards) among the estimated number of people with advanced HIV infection.</t>
  </si>
  <si>
    <t>Antiretroviral therapy coverage indicates the percentage of adults and children with advanced HIV infection currently receiving antiretroviral therapy among the estimated number of people needing antiretroviral therapy based on WHO 2010 guidelines.</t>
  </si>
  <si>
    <t>SM.POP.NETM</t>
  </si>
  <si>
    <t>Net migration is the net total of migrants during the period, that is, the total number of immigrants less the annual number of emigrants, including both citizens and noncitizens. Data are five-year estimates. To derive estimates of net migration, the United Nations Population Division takes into account the past migration history of a country or area, the migration policy of a country, and the influx of refugees in recent periods. The data to calculate these official estimates come from a variety of sources, including border statistics, administrative records, surveys, and censuses. When no official estimates can be made because of insufficient data, net migration is derived through the balance equation, which is the difference between overall population growth and the natural increase during the 1990-2000 intercensal period.</t>
  </si>
  <si>
    <t>Net migration is the net total of migrants during the period, that is, the total number of immigrants less the annual number of emigrants, including both citizens and noncitizens. Data are five-year estimates.</t>
  </si>
  <si>
    <t>SN.ITK.VITA.ZS</t>
  </si>
  <si>
    <t>Vitamin A supplementation refers to the percentage of children ages 6-59 months old who received at least one high-dose vitamin A capsule in the previous six months.</t>
  </si>
  <si>
    <t>Vitamin A supplementation refers to the percentage of children ages 6-59 months old who received at least two doses of vitamin A in the previous year.</t>
  </si>
  <si>
    <t>SP.POP.1564.TO.ZS</t>
  </si>
  <si>
    <t>Population ages 15 to 64 is the percentage of the total population that is in the age group 15 to 64. Population is based on the de facto definition of population, which counts all residents regardless of legal status or citizenship--except for refugees not permanently settled in the country of asylum, who are generally considered part of the population of the country of origin.</t>
  </si>
  <si>
    <t>Total population between the ages 15 to 64 is the number of people who could potentially be economically active. Population is based on the de facto definition of population, which counts all residents regardless of legal status or citizenship--except for refugees not permanently settled in the country of asylum, who are generally considered part of the population of the country of origin.</t>
  </si>
  <si>
    <t>old source</t>
  </si>
  <si>
    <t>new source</t>
  </si>
  <si>
    <t>SH.CON.1524.FE.ZS</t>
  </si>
  <si>
    <t>Demographic and Health Surveys by Macro International.</t>
  </si>
  <si>
    <t>Demographic and Health Surveys by ICF International.</t>
  </si>
  <si>
    <t>SH.CON.1524.MA.ZS</t>
  </si>
  <si>
    <t>SH.DTH.IMRT</t>
  </si>
  <si>
    <t>Level &amp; Trends in Child Mortality. Report 2011. Estimates Developed by the UN Inter-agency Group for Child Mortality Estimation (UNICEF, WHO, World Bank, UN DESA, UNPD).</t>
  </si>
  <si>
    <t>SH.DTH.MORT</t>
  </si>
  <si>
    <t>SH.DTH.NMRT</t>
  </si>
  <si>
    <t>SH.DYN.CHLD.FE</t>
  </si>
  <si>
    <t>Demographic and Health Surveys by Macro International, Multiple Indicators Cluster Surveys by UNICEF, Reproductive Health Surveys by U.S. Center for Disease Control, and Family Health Surveys by Pan Arab Project for Family Health. See footnotes for a sour</t>
  </si>
  <si>
    <t>Demographic and Health Surveys by ICF International, Multiple Indicators Cluster Surveys by UNICEF, Reproductive Health Surveys by U.S. Center for Disease Control, and Family Health Surveys by Pan Arab Project for Family Health. See footnotes for a source.</t>
  </si>
  <si>
    <t>SH.DYN.CHLD.MA</t>
  </si>
  <si>
    <t>SH.DYN.MORT</t>
  </si>
  <si>
    <t>SH.DYN.NMRT</t>
  </si>
  <si>
    <t>World Health Organization,retrieved from the United Nation's Millennium Development Goals database. Data are available at : http://mdgs.un.org/.</t>
  </si>
  <si>
    <t>UNAIDS and the WHO's Report on the Global AIDS Epidemic.</t>
  </si>
  <si>
    <t>SH.MED.BEDS.ZS</t>
  </si>
  <si>
    <t>Data after 2005 are extracted from the World Health Statistics Table 6 published by WHO. WHS data is based on PAHO basic indicators 2011. Washington, DC, Pan American Health Organization, 2011 (www.paho.org/English/SHA/coredata/tabulator/newTabulator.htm)</t>
  </si>
  <si>
    <t>Data are from the World Health Organization, supplemented by country data.</t>
  </si>
  <si>
    <t>SH.MLR.NETS.ZS</t>
  </si>
  <si>
    <t>UNICEF, State of the World's Children, Childinfo, and Demographic and Health Surveys by Macro International.</t>
  </si>
  <si>
    <t>UNICEF, State of the World's Children, Childinfo, and Demographic and Health Surveys by ICF International.</t>
  </si>
  <si>
    <t>SH.MLR.TRET.ZS</t>
  </si>
  <si>
    <t>SH.STA.ANVC.ZS</t>
  </si>
  <si>
    <t>SH.STA.ARIC.ZS</t>
  </si>
  <si>
    <t>SH.STA.BFED.ZS</t>
  </si>
  <si>
    <t>SH.STA.BRTC.ZS</t>
  </si>
  <si>
    <t>SH.STA.BRTW.ZS</t>
  </si>
  <si>
    <t>SH.STA.MMRT.NE</t>
  </si>
  <si>
    <t>SH.STA.ORCF.ZS</t>
  </si>
  <si>
    <t>SH.XPD.EXTR.ZS</t>
  </si>
  <si>
    <t>World Health Organization National Health Account database (see http://apps.who.int/nha/database for the most recent updates).</t>
  </si>
  <si>
    <t>World Health Organization National Health Account database (see http://apps.who.int/nha/database/DataExplorerRegime.aspx for the most recent updates).</t>
  </si>
  <si>
    <t>SH.XPD.OOPC.TO.ZS</t>
  </si>
  <si>
    <t>SH.XPD.OOPC.ZS</t>
  </si>
  <si>
    <t>SH.XPD.PCAP</t>
  </si>
  <si>
    <t>SH.XPD.PCAP.PP.KD</t>
  </si>
  <si>
    <t>SH.XPD.PRIV.ZS</t>
  </si>
  <si>
    <t>SH.XPD.PUBL</t>
  </si>
  <si>
    <t>SH.XPD.PUBL.GX.ZS</t>
  </si>
  <si>
    <t>SH.XPD.PUBL.ZS</t>
  </si>
  <si>
    <t>SH.XPD.TOTL.ZS</t>
  </si>
  <si>
    <t>SI.POV.NAGP</t>
  </si>
  <si>
    <t>Global Poverty Working Group. Data are based on World Bank's country poverty assessments and country Poverty Reduction Strategies.</t>
  </si>
  <si>
    <t>World Bank, Global Poverty Working Group. Data are based on World Bank's country poverty assessments and country Poverty Reduction Strategies.</t>
  </si>
  <si>
    <t>SI.POV.NAHC</t>
  </si>
  <si>
    <t>SI.POV.RUGP</t>
  </si>
  <si>
    <t>SI.POV.RUHC</t>
  </si>
  <si>
    <t>SI.POV.URGP</t>
  </si>
  <si>
    <t>SI.POV.URHC</t>
  </si>
  <si>
    <t>SN.ITK.DEFC.ZS</t>
  </si>
  <si>
    <t>Food and Agriculture Organization (http://www.fao.org/faostat/foodsecurity/index_en.htm).</t>
  </si>
  <si>
    <t>SP.DYN.CONU.ZS</t>
  </si>
  <si>
    <t>Household surveys, including Demographic and Health Surveys by ICF International and Multiple Indicator Cluster Surveys by UNICEF.</t>
  </si>
  <si>
    <t>Household surveys, including Demographic and Health Surveys by Macro International and Multiple Indicator Cluster Surveys by UNICEF.</t>
  </si>
  <si>
    <t>SP.DYN.IMRT.IN</t>
  </si>
  <si>
    <t>SP.DYN.WFRT</t>
  </si>
  <si>
    <t>SP.HOU.FEMA.ZS</t>
  </si>
  <si>
    <t>SP.MTR.1519.ZS</t>
  </si>
  <si>
    <t>SP.POP.DPND</t>
  </si>
  <si>
    <t>World Bank staff estimates from various sources including census reports, the United Nations Population Division's World Population Prospects, national statistical offices, household surveys conducted by national agencies, and Macro International.</t>
  </si>
  <si>
    <t>World Bank staff estimates from various sources including census reports, the United Nations Population Division's World Population Prospects, national statistical offices, household surveys conducted by national agencies, and ICF International.</t>
  </si>
  <si>
    <t>SP.POP.DPND.OL</t>
  </si>
  <si>
    <t>SP.POP.DPND.YG</t>
  </si>
  <si>
    <t>SP.UWT.TFRT</t>
  </si>
  <si>
    <t>old topic</t>
  </si>
  <si>
    <t>new topic</t>
  </si>
  <si>
    <t>BX.GRT.EXTA.CD.WD</t>
  </si>
  <si>
    <t>Grants, excluding technical cooperation (BoP, current US$)</t>
  </si>
  <si>
    <t>Grants are defined as legally binding commitments that obligate a specific value of funds available for disbursement for which there is no repayment requirement. Data are in current U.S. dollars.</t>
  </si>
  <si>
    <t>World Bank, Global Development Finance, and OECD.</t>
  </si>
  <si>
    <t>Economic Policy &amp; Debt: Balance of payments: Reserves &amp; other items</t>
  </si>
  <si>
    <t>BX.GRT.TECH.CD.WD</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</si>
  <si>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and include the United Nations Children’s Fund (UNICEF), United Nations Relief and Works Agency for Palestine Refugees in the Near East (UNRWA), United Nations Regular Programme for Technical Assistance (UNTA), International Atomic Energy Agency (IAEA), International Fund for Agricul­tural Development (IFAD), Joint United Nations Programme on HIV/AIDS (UNAIDS), United Nations Development Programme (UNDP), United Nations Economic Commission for Europe (UNECE), United Nations Population Fund (UNPD), United Nations Refugee Agency (UNHCR), World Food Programme (WFP), and World Health Organization (WHO). Data are in current U.S. dollars.</t>
  </si>
  <si>
    <t>CO2 emissions from residential buildings and commercial and public services contains all emissions from fuel combustion in households. This corresponds to IPCC Source/Sink Category 1 A 4 b. Commercial and public services includes emissions from all activities of ISIC Divisions 41, 50-52, 55, 63-67, 70-75, 80, 85, 90-93 and 99.</t>
  </si>
  <si>
    <t>IEA Statistics © OECD/IEA, http://www.iea.org/stats/index.asp), International Energy Agency electronic files on CO2 Emissions from Fuel Combustion.</t>
  </si>
  <si>
    <t>Environment: Emissions</t>
  </si>
  <si>
    <t>CO2 emissions from electricity and heat production is the sum of three IEA categories of CO2 emissions: (1) Main Activity Producer Electricity and Heat which contains the sum of emissions from main activity producer electricity generation, combined heat and power generation and heat plants. Main activity producers  (formerly known as public utilities) are defined as those undertakings whose primary activity is to supply the public. They may be publicly or privately owned. This corresponds to IPCC Source/Sink Category 1 A 1 a. For the CO2 emissions from fuel combustion (summary) file, emissions from own on-site use of fuel in power plants (EPOWERPLT) are also included. (2) Unallocated Autoproducers which contains the emissions from the generation of electricity and/or heat by autoproducers. Autoproducers are defined as undertakings that generate electricity and/or heat, wholly or partly for their own use as an activity which supports their primary activity. They may be privately or publicly owned. In the 1996 IPCC Guidelines, these emissions would normally be distributed between industry, transport and "other" sectors. (3) Other Energy Industries contains emissions from fuel combusted in petroleum refineries, for the manufacture of solid fuels, coal mining, oil and gas extraction and other energy-producing industries. This corresponds to the IPCC Source/Sink Categories 1 A 1 b and 1 A 1 c. According to the 1996 IPCC Guidelines, emissions from coke inputs to blast furnaces can either be counted here or in the Industrial Processes source/sink category. Within detailed sectoral calculations, certain non-energy processes can be distinguished. In the reduction of iron in a blast furnace through the combustion of coke, the primary purpose of the coke oxidation is to produce pig iron and the emissions can be considered as an industrial process. Care must be taken not to double count these emissions in both Energy and Industrial Processes. In the IEA estimations, these emissions have been included in this category.</t>
  </si>
  <si>
    <t>CO2 emissions from manufacturing industries and construction contains the emissions from combustion of fuels in industry. The IPCC Source/Sink Category 1 A 2 includes these emissions. However, in the 1996 IPCC Guidelines, the IPCC category also includes emissions from industry autoproducers that generate electricity and/or heat. The IEA data are not collected in a way that allows the energy consumption to be split by specific end-use and therefore, autoproducers are shown as a separate item (Unallocated Autoproducers). Manufacturing industries and construction also includes emissions from coke inputs into blast furnaces, which may be reported either in the transformation sector, the industry sector or the separate IPCC Source/Sink Category 2, Industrial Processes.</t>
  </si>
  <si>
    <t>CO2 emissions from other sectors, less residential buildings and commercial and public services, contains the emissions from commercial/institutional activities, residential, agriculture/forestry, fishing and other emissions not specified elsewhere that are included in the IPCC Source/Sink Categories 1 A 4 and 1 A 5. In the 1996 IPCC Guidelines, the category also includes emissions from autoproducers in the commercial/residential/agricultural sectors that generate electricity and/or heat. The IEA data are not collected in a way that allows the energy consumption to be split by specific end-use and therefore, autoproducers are shown as a separate item (Unallocated Autoproducers).</t>
  </si>
  <si>
    <t>CO2 emissions from transport contains emissions from the combustion of fuel for all transport activity, regardless of the sector, except for international marine bunkers and international aviation. This includes domestic aviation, domestic navigation, road, rail and pipeline transport, and corresponds to IPCC Source/Sink Category 1 A 3. In addition, the IEA data are not collected in a way that allows the autoproducer consumption to be split by specific end-use and therefore, autoproducers are shown as a separate item (Unallocated Autoproducers).</t>
  </si>
  <si>
    <t>ER.PTD.TOTL.ZS</t>
  </si>
  <si>
    <t>Terrestrial and marine protected areas (% of total territorial area)</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</si>
  <si>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</si>
  <si>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United Nations Environmental Program and the World Conservation Monitoring Centre, as compiled by the World Resources Institute, based on data from national authorities, national legislation and international agreements.</t>
  </si>
  <si>
    <t>Environment: Biodiversity &amp; protected areas</t>
  </si>
  <si>
    <t>FB.CBK.BRCH.P5</t>
  </si>
  <si>
    <t>Commercial bank branches (per 100,000 adults)</t>
  </si>
  <si>
    <t>Commercial bank branches are retail locations of resident commercial banks and other resident banks that function as commercial banks that provide financial services to customers and are physically separated from the main office but not organized as legally separated subsidiaries.</t>
  </si>
  <si>
    <t>International Monetary Fund.</t>
  </si>
  <si>
    <t>Financial Sector: Access</t>
  </si>
  <si>
    <t>FB.CBK.BRWR.P3</t>
  </si>
  <si>
    <t>Borrowers from commercial banks (per 1,000 adults)</t>
  </si>
  <si>
    <t>Borrowers from commercial banks are the reported number of resident customers that are nonfinancial corporations (public and private) and households who obtained loans from commercial banks and other banks functioning as commercial banks. For many countries data cover the total number of loan accounts due to lack of information on loan account holders.</t>
  </si>
  <si>
    <t>FB.CBK.DPTR.P3</t>
  </si>
  <si>
    <t>Depositors with commercial banks (per 1,000 adults)</t>
  </si>
  <si>
    <t>Depositors with commercial banks are the reported number of deposit account holders at commercial banks and other resident banks functioning as commercial banks  that are resident nonfinancial corporations (public and private) and households. For many countries data cover the total number of deposit accounts due to lack of information on account holders. The major types of deposits are checking accounts, savings accounts, and time deposits.</t>
  </si>
  <si>
    <t>IC.ELC.TIME</t>
  </si>
  <si>
    <t>Time required to get electricity (days)</t>
  </si>
  <si>
    <t>Time required to get electricity is the number of days to obtain a permanent electricity connection. The measure captures the median duration that the electricity utility and experts indicate is necessary in practice, rather than required by law, to complete a procedure.</t>
  </si>
  <si>
    <t>World Bank, Doing Business project (http://www.doingbusiness.org/).</t>
  </si>
  <si>
    <t>SE.TER.TCHR.FE.ZS</t>
  </si>
  <si>
    <t>Tertiary education, teachers (% female)</t>
  </si>
  <si>
    <t>Tertiary education, teachers (% female) is the share of female teachers in tertiary education.</t>
  </si>
  <si>
    <t>United Nations Educational, Scientific, and Cultural Organization (UNESCO) Institute for Statistics.</t>
  </si>
  <si>
    <t>Education: Inputs</t>
  </si>
  <si>
    <t>SG.GEN.LSOM.ZS</t>
  </si>
  <si>
    <t>Female legislators, senior officials and managers (% of total)</t>
  </si>
  <si>
    <t>Female legislators, senior officials and managers (% of total) refers to the share of legislators, senior officials and managers who are female.</t>
  </si>
  <si>
    <t>ILO Key Indicators of the Labour Market (KILM).</t>
  </si>
  <si>
    <t>Public Sector: Policy &amp; institutions</t>
  </si>
  <si>
    <t>Number of infant deaths</t>
  </si>
  <si>
    <t>Number of deaths between birth and exactly one year of age.</t>
  </si>
  <si>
    <t>Number of under-five deaths</t>
  </si>
  <si>
    <t>Number of deaths between birth and exactly five years of age.</t>
  </si>
  <si>
    <t>Number of neonatal deaths</t>
  </si>
  <si>
    <t>Number of deaths in the first month of life.</t>
  </si>
  <si>
    <t>Antiretroviral therapy coverage (% of people with advanced HIV infection)</t>
  </si>
  <si>
    <t>Health: Disease prevention</t>
  </si>
  <si>
    <t>SH.MMR.DTHS</t>
  </si>
  <si>
    <t>Number of maternal mortality deaths</t>
  </si>
  <si>
    <t>Maternal mortality deaths is the number of women who die during pregnancy and childbirth.</t>
  </si>
  <si>
    <t>Trends in Maternal Mortality: 1990-2010. Estimates Developed by WHO, UNICEF, UNFPA and the World Bank.</t>
  </si>
  <si>
    <t>Health: Reproductive health</t>
  </si>
  <si>
    <t>SL.TLF.ACTI.1524.FE.ZS</t>
  </si>
  <si>
    <t>Labor force participation rate for ages 15-24, female (%)</t>
  </si>
  <si>
    <t>Labor force participation rate for ages 15-24 is the proportion of the population ages 15-24 that is economically active: all people who supply labor for the production of goods and services during a specified period.</t>
  </si>
  <si>
    <t>International Labour Organization, Key Indicators of the Labour Market database.</t>
  </si>
  <si>
    <t>Labor &amp; Social Protection: Labor force structure</t>
  </si>
  <si>
    <t>SL.TLF.ACTI.1524.MA.ZS</t>
  </si>
  <si>
    <t>Labor force participation rate for ages 15-24, male (%)</t>
  </si>
  <si>
    <t>SL.TLF.ACTI.1524.ZS</t>
  </si>
  <si>
    <t>Labor force participation rate for ages 15-24, total (%)</t>
  </si>
  <si>
    <t>SL.TLF.ACTI.FE.ZS</t>
  </si>
  <si>
    <t>Labor force participation rate, female (% of female population ages 15-64)</t>
  </si>
  <si>
    <t>Labor force participation rate is the proportion of the population ages 15-64 that is economically active: all people who supply labor for the production of goods and services during a specified period.</t>
  </si>
  <si>
    <t>SL.TLF.ACTI.MA.ZS</t>
  </si>
  <si>
    <t>Labor force participation rate, male (% of male population ages 15-64)</t>
  </si>
  <si>
    <t>SL.TLF.ACTI.ZS</t>
  </si>
  <si>
    <t>Labor force participation rate, total (% of total population ages 15-64)</t>
  </si>
  <si>
    <t>SL.TLF.CACT.FM.ZS</t>
  </si>
  <si>
    <t>Ratio of female to male labor participation rate (%)</t>
  </si>
  <si>
    <t>Labor force participation rate is the proportion of the population ages 15 and older that is economically active: all people who supply labor for the production of goods and services during a specified period.</t>
  </si>
  <si>
    <t>VC.IHR.PSRC.P5</t>
  </si>
  <si>
    <t>Intentional homicides (per 100,000 people)</t>
  </si>
  <si>
    <t>Intentional homicides are estimates of unlawful homicides purposely inflicted as a result of domestic disputes, interpersonal violence, violent conflicts over land resources, intergang violence over turf or control, and predatory violence and killing by armed groups. Intentional homicide does not include all intentional killing; the difference is usually in the organization of the killing. Individuals or small groups usually commit homicide, whereas killing in armed conflict is usually committed by fairly cohesive groups of up to several hundred members and is thus usually excluded.</t>
  </si>
  <si>
    <t>UN Office on Drugs and Crime's International Homicide Statistics database.</t>
  </si>
  <si>
    <t>Public Sector: Conflict &amp; fragility</t>
  </si>
  <si>
    <t>Deletions (22)</t>
  </si>
  <si>
    <t>BX.GRT.EXTA.CD.DT</t>
  </si>
  <si>
    <t>Grants, excluding technical cooperation (current US$)</t>
  </si>
  <si>
    <t>BX.GRT.TECH.CD.DT</t>
  </si>
  <si>
    <t>Technical cooperation grants (current US$)</t>
  </si>
  <si>
    <t>BX.KLT.DINV.CD.DT</t>
  </si>
  <si>
    <t>Foreign direct investment, net inflows in reporting economy (DRS, current US$)</t>
  </si>
  <si>
    <t>BX.PEF.TOTL.CD.DT</t>
  </si>
  <si>
    <t>Portfolio investment, equity (DRS, current US$)</t>
  </si>
  <si>
    <t>CM.FIN.INTL.GD.ZS</t>
  </si>
  <si>
    <t>Financing via international capital markets (gross inflows, % of GDP)</t>
  </si>
  <si>
    <t>FB.AST.LOAN.CB.P3</t>
  </si>
  <si>
    <t>Loan accounts, commercial banks (per 1,000 adults)</t>
  </si>
  <si>
    <t>FB.AST.LOAN.CO.P3</t>
  </si>
  <si>
    <t>Loan accounts, cooperatives (per 1,000 adults)</t>
  </si>
  <si>
    <t>FB.AST.LOAN.MF.P3</t>
  </si>
  <si>
    <t>Loan accounts, microfinance institutions (per 1,000 adults)</t>
  </si>
  <si>
    <t>FB.AST.LOAN.SF.P3</t>
  </si>
  <si>
    <t>Loan accounts, specialized state financial institutions (per 1,000 adults)</t>
  </si>
  <si>
    <t>FB.BNK.BRCH.CB.P5</t>
  </si>
  <si>
    <t>Branches, commercial banks (per 100,000 adults)</t>
  </si>
  <si>
    <t>FB.BNK.BRCH.CO.P5</t>
  </si>
  <si>
    <t>Branches, cooperatives (per 100,000 adults)</t>
  </si>
  <si>
    <t>FB.BNK.BRCH.MF.P5</t>
  </si>
  <si>
    <t>Branches, microfinance institutions (per 100,000 adults)</t>
  </si>
  <si>
    <t>FB.BNK.BRCH.SF.P5</t>
  </si>
  <si>
    <t>Branches, specialized state financial institutions (per 100,000 adults)</t>
  </si>
  <si>
    <t>FB.LBL.DDPT.CB.P3</t>
  </si>
  <si>
    <t>Deposit accounts, commercial banks (per 1,000 adults)</t>
  </si>
  <si>
    <t>FB.LBL.DDPT.CO.P3</t>
  </si>
  <si>
    <t>Deposit accounts, cooperatives (per 1,000 adults)</t>
  </si>
  <si>
    <t>FB.LBL.DDPT.MF.P3</t>
  </si>
  <si>
    <t>Deposit accounts, microfinance institutions (per 1,000 adults)</t>
  </si>
  <si>
    <t>FB.LBL.DDPT.SF.P3</t>
  </si>
  <si>
    <t>Deposit accounts, specialized state financial institutions (per 1,000 adults)</t>
  </si>
  <si>
    <t>SL.MNF.WAGE.FM</t>
  </si>
  <si>
    <t>Ratio of female to male wages in manufacturing (%)</t>
  </si>
  <si>
    <t>VC.IHR.ICTS.P5</t>
  </si>
  <si>
    <t>Intentional homicides, UN Crime Trends Survey (CTS) source (per 100,000 people)</t>
  </si>
  <si>
    <t>VC.IHR.IPBH.P5</t>
  </si>
  <si>
    <t>Intentional homicides, international public health sources (per 100,000 people)</t>
  </si>
  <si>
    <t>VC.IHR.IPOL.P5</t>
  </si>
  <si>
    <t>Intentional homicides, international police sources (per 100,000 people)</t>
  </si>
  <si>
    <t>VC.IHR.NPOL.P5</t>
  </si>
  <si>
    <t>Intentional homicides, government police sources (per 100,000 people)</t>
  </si>
  <si>
    <t>Change in description (30)</t>
  </si>
  <si>
    <t>AG.PRD.CROP.XD</t>
  </si>
  <si>
    <t>Crop production index (1999-2001 = 100)</t>
  </si>
  <si>
    <t>Crop production index (2004-2006 = 100)</t>
  </si>
  <si>
    <t>AG.PRD.FOOD.XD</t>
  </si>
  <si>
    <t>Food production index (1999-2001 = 100)</t>
  </si>
  <si>
    <t>Food production index (2004-2006 = 100)</t>
  </si>
  <si>
    <t>AG.PRD.LVSK.XD</t>
  </si>
  <si>
    <t>Livestock production index (1999-2001 = 100)</t>
  </si>
  <si>
    <t>Livestock production index (2004-2006 = 100)</t>
  </si>
  <si>
    <t>Workers' remittances and compensation of employees, paid (current US$)</t>
  </si>
  <si>
    <t>BN.TRF.PWKR.CD.DT</t>
  </si>
  <si>
    <t>Workers' remittances and compensation of employees, net (US$)</t>
  </si>
  <si>
    <t>Personal transfers and compensation of employees, net (current US$)</t>
  </si>
  <si>
    <t>BX.KLT.DREM.CD.DT</t>
  </si>
  <si>
    <t>Profit remittances on FDI (current US$)</t>
  </si>
  <si>
    <t>Primary income on FDI (current US$)</t>
  </si>
  <si>
    <t>Workers' remittances and compensation of employees, received (current US$)</t>
  </si>
  <si>
    <t>Workers' remittances and compensation of employees, received (% of GDP)</t>
  </si>
  <si>
    <t>DT.DOD.PVLX.EX.ZS</t>
  </si>
  <si>
    <t>Present value of external debt (% of exports of goods, services and income)</t>
  </si>
  <si>
    <t>Present value of external debt (% of exports of goods, services and primary income)</t>
  </si>
  <si>
    <t>DT.ODA.ALLD.KD</t>
  </si>
  <si>
    <t>Net official development assistance and official aid received (constant 2009 US$)</t>
  </si>
  <si>
    <t>Net official development assistance and official aid received (constant 2010 US$)</t>
  </si>
  <si>
    <t>DT.ODA.OATL.KD</t>
  </si>
  <si>
    <t>Net official aid received (constant 2009 US$)</t>
  </si>
  <si>
    <t>Net official aid received (constant 2010 US$)</t>
  </si>
  <si>
    <t>DT.ODA.ODAT.KD</t>
  </si>
  <si>
    <t>Net official development assistance received (constant 2009 US$)</t>
  </si>
  <si>
    <t>Net official development assistance received (constant 2010 US$)</t>
  </si>
  <si>
    <t>FR.INR.RISK</t>
  </si>
  <si>
    <t>Risk premium on lending (prime rate minus treasury bill rate, %)</t>
  </si>
  <si>
    <t>Risk premium on lending (lending rate minus treasury bill rate, %)</t>
  </si>
  <si>
    <t>IS.ROD.DESL.PC</t>
  </si>
  <si>
    <t>Road sector diesel fuel consumption per capita (kt of oil equivalent)</t>
  </si>
  <si>
    <t>Road sector diesel fuel consumption per capita (kg of oil equivalent)</t>
  </si>
  <si>
    <t>IS.ROD.ENGY.PC</t>
  </si>
  <si>
    <t>Road sector energy consumption per capita (kt of oil equivalent)</t>
  </si>
  <si>
    <t>Road sector energy consumption per capita (kg of oil equivalent)</t>
  </si>
  <si>
    <t>IS.ROD.SGAS.PC</t>
  </si>
  <si>
    <t>Road sector gasoline fuel consumption per capita (kt of oil equivalent)</t>
  </si>
  <si>
    <t>Road sector gasoline fuel consumption per capita (kg of oil equivalent)</t>
  </si>
  <si>
    <t>SE.PRM.TENR</t>
  </si>
  <si>
    <t>Total enrollment, primary (% net)</t>
  </si>
  <si>
    <t xml:space="preserve">Adjusted net enrollment rate, primary (% of primary school age children)
</t>
  </si>
  <si>
    <t>SE.PRM.TENR.FE</t>
  </si>
  <si>
    <t>Total enrollment, primary, female (% net)</t>
  </si>
  <si>
    <t xml:space="preserve">Adjusted net enrollment rate, primary, female (% of primary school age children)
</t>
  </si>
  <si>
    <t>SE.PRM.TENR.MA</t>
  </si>
  <si>
    <t>Total enrollment, primary, male (% net)</t>
  </si>
  <si>
    <t xml:space="preserve">Adjusted net enrollment rate, primary, male (% of primary school age children)
</t>
  </si>
  <si>
    <t>Women's share of population ages 15+ living with HIV (%)</t>
  </si>
  <si>
    <t>Female adults with HIV (% of population ages 15+ with HIV)</t>
  </si>
  <si>
    <t>Mortality rate, under-5 (per 1,000)</t>
  </si>
  <si>
    <t>Mortality rate, under-5 (per 1,000 live births)</t>
  </si>
  <si>
    <t>SL.TLF.0714.FE.ZS</t>
  </si>
  <si>
    <t>Economically active children, female (% of female children ages 7-14)</t>
  </si>
  <si>
    <t>Children in employment, female (% of female children ages 7-14)</t>
  </si>
  <si>
    <t>SL.TLF.0714.MA.ZS</t>
  </si>
  <si>
    <t>Economically active children, male (% of male children ages 7-14)</t>
  </si>
  <si>
    <t>Children in employment, male (% of male children ages 7-14)</t>
  </si>
  <si>
    <t>SL.TLF.0714.SW.FE.ZS</t>
  </si>
  <si>
    <t>Economically active children, study and work, female (% of female economically active children, ages 7-14)</t>
  </si>
  <si>
    <t>Children in employment, study and work, female (% of female children in employment, ages 7-14)</t>
  </si>
  <si>
    <t>SL.TLF.0714.SW.MA.ZS</t>
  </si>
  <si>
    <t>Economically active children, study and work, male (% of male economically active children, ages 7-14)</t>
  </si>
  <si>
    <t>Children in employment, study and work, male (% of male children in employment, ages 7-14)</t>
  </si>
  <si>
    <t>SL.TLF.0714.SW.ZS</t>
  </si>
  <si>
    <t>Economically active children, study and work (% of economically active children, ages 7-14)</t>
  </si>
  <si>
    <t>Children in employment, study and work (% of children in employment, ages 7-14)</t>
  </si>
  <si>
    <t>SL.TLF.0714.WK.FE.ZS</t>
  </si>
  <si>
    <t>Economically active children, work only, female (% of female economically active children, ages 7-14)</t>
  </si>
  <si>
    <t>Children in employment, work only, female (% of female children in employment, ages 7-14)</t>
  </si>
  <si>
    <t>SL.TLF.0714.WK.MA.ZS</t>
  </si>
  <si>
    <t>Economically active children, work only, male (% of male economically active children, ages 7-14)</t>
  </si>
  <si>
    <t>Children in employment, work only, male (% of male children in employment, ages 7-14)</t>
  </si>
  <si>
    <t>SL.TLF.0714.WK.ZS</t>
  </si>
  <si>
    <t>Economically active children, work only (% of economically active children, ages 7-14)</t>
  </si>
  <si>
    <t>Children in employment, work only (% of children in employment, ages 7-14)</t>
  </si>
  <si>
    <t>SL.TLF.0714.ZS</t>
  </si>
  <si>
    <t>Economically active children, total (% of children ages 7-14)</t>
  </si>
  <si>
    <t>Children in employment, total (% of children ages 7-14)</t>
  </si>
  <si>
    <t>Change in definition (66)</t>
  </si>
  <si>
    <t>Crop production index shows agricultural production for each year relative to the base period 1999-2001. It includes all crops except fodder crops. Regional and income group aggregates for the FAO's production indexes are calculated from the underlying values in international dollars, normalized to the base period 1999-2001.</t>
  </si>
  <si>
    <t>Crop production index shows agricultural production for each year relative to the base period 2004-2006. It includes all crops except fodder crops. Regional and income group aggregates for the FAO's production indexes are calculated from the underlying values in international dollars, normalized to the base period 2004-2006.</t>
  </si>
  <si>
    <t>AG.YLD.CREL.KG</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</si>
  <si>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</si>
  <si>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</si>
  <si>
    <t>Workers' remittances and compensation of employees comprise current transfers by migrant workers and wages and salaries earned by nonresident workers. Remittances are classified as current private transfers from migrant workers resident in the host country for more than a year, irrespective of their immigration status, to recipients in their country of origin. Migrants' transfers are defined as the net worth of migrants who are expected to remain in the host country for more than one year that is transferred from one country to another at the time of migration. Compensation of employees is the income of migrants who have lived in the host country for less than a year. Data are in current U.S. dollars.</t>
  </si>
  <si>
    <t xml:space="preserve">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workers' remittances, compensation of employees, and migrants' transfers. Data are in current U.S. dollars. 
 </t>
  </si>
  <si>
    <t>Workers' remittances and compensation of employees comprise current transfers by migrant workers and wages and salaries earned by nonresident workers. Remittances are classified as current private transfers from migrant workers resident in the host country for more than a year, irrespective of their immigration status, to recipients in their country of origin. Migrants' transfers are defined as the net worth of migrants who are expected to remain in the host country for more than one year that is transferred from one country to another at the time of migration. Compensation of employees is the income of migrants who have lived in the host country for less than a year. Data are amount received by the reporting economy less the amount send by the reporting economy to other economies. Data are in current U.S. dollars.</t>
  </si>
  <si>
    <t>Profit remittances on foreign direct investment covers payments of direct investment income (debit side), which consist of income on equity (dividends, branch profits, and reinvested earnings) and income on the intercompany debt (interest). Data are in current U.S. dollars.</t>
  </si>
  <si>
    <t>Primary income on foreign direct investment covers payments of direct investment income (debit side), which consist of income on equity (dividends, branch profits, and reinvested earnings) and income on the intercompany debt (interest). Data are in current U.S. dollars.</t>
  </si>
  <si>
    <t>Workers' remittances and compensation of employees comprise current transfers by migrant workers and wages and salaries earned by nonresident workers. Data are the sum of three items defined in the fifth edition of the IMF's Balance of Payments Manual: workers' remittances, compensation of employees, and migrants' transfers. Remittances are classified as current private transfers from migrant workers resident in the host country for more than a year, irrespective of their immigration status, to recipients in their country of origin. Migrants' transfers are defined as the net worth of migrants who are expected to remain in the host country for more than one year that is transferred from one country to another at the time of migration. Compensation of employees is the income of migrants who have lived in the host country for less than a year. Data are in current U.S. dollars.</t>
  </si>
  <si>
    <t>Workers' remittances and compensation of employees comprise current transfers by migrant workers and wages and salaries earned by nonresident workers. Data are the sum of three items defined in the fifth edition of the IMF's Balance of Payments Manual: workers' remittances, compensation of employees, and migrants' transfers. Remittances are classified as current private transfers from migrant workers resident in the host country for more than a year, irrespective of their immigration status, to recipients in their country of origin. Migrants' transfers are defined as the net worth of migrants who are expected to remain in the host country for more than one year that is transferred from one country to another at the time of migration. Compensation of employees is the income of migrants who have lived in the host country for less than a year.</t>
  </si>
  <si>
    <t>DT.DIS.IDAG.CD</t>
  </si>
  <si>
    <t>IDA grants are net disbursements of grants from the International Development Association (IDA). Data are in current U.S. dollars.</t>
  </si>
  <si>
    <r>
      <t xml:space="preserve">IDA grants are net disbursements of grants from the International Development Association (IDA). Data are in current U.S. dollars. </t>
    </r>
    <r>
      <rPr>
        <sz val="11"/>
        <color indexed="10"/>
        <rFont val="Calibri"/>
        <family val="2"/>
      </rPr>
      <t>Regional allocations are included in aggregate data.</t>
    </r>
  </si>
  <si>
    <t>DT.DOD.DIMF.CD</t>
  </si>
  <si>
    <t>Use of IMF credit denotes members’ drawings on the IMF other than those drawn against the country’s reserve tranche position. Use of IMF credit includes purchases and drawings under the Extended Credit Facility, Standby Credit Facility, Rapid Credit Facility, Stand-By Arrangements, Flexible Credit Line, and the Extended Fund Facility. The IMF’s loan instruments have changed over time to address the specific circumstances of its members. Note: Data related to the operations of the IMF come from the IMF Treasurer’s Department and are converted from special drawing rights (SDRs) into dollars using end-of-period exchange rates for stocks and average over the period exchange rates for converting flows. Data are in current U.S. dollars.</t>
  </si>
  <si>
    <t>Use of IMF credit denotes members' drawings on the IMF other than amounts drawn against the country's reserve tranche position. Use of IMF credit includes purchases and drawings under Stand-By, Extended, Structural Adjustment, Enhanced Structural Adjustment, and Systemic Transformation Facility Arrangements as well as Trust Fund loans. SDR allocations are also included in this category. Note: Data related to the operations of the IMF are provided by the IMF Treasurer’s Department. They are converted from special drawing rights into dollars using end-of-period exchange rates for stocks and average-over-the-period exchange rates for flows. Data are in current U.S. dollars.</t>
  </si>
  <si>
    <t>DT.DOD.MDRI.CD</t>
  </si>
  <si>
    <t>Debt forgiveness grants data cover both debt cancelled by agreement between debtor and creditor and a reduction in the net present value of non-ODA debt achieved by concessional rescheduling or refinancing. The data are on a disbursement basis and cover flows from all bilateral and multilateral donors. Data are in current U.S. dollars.</t>
  </si>
  <si>
    <r>
      <t>Debt forgiveness grants data cover both debt cancelled by agreement between debtor and creditor and a reduction in the net present value of non-ODA debt achieved by concessional rescheduling or refinancing. The  data are on a disbursement basis and cover flows from all bilateral and multilateral donors. Data are in current U.S. dollars.</t>
    </r>
    <r>
      <rPr>
        <sz val="11"/>
        <color indexed="10"/>
        <rFont val="Calibri"/>
        <family val="2"/>
      </rPr>
      <t xml:space="preserve"> Regional and unspecified allocations are excluded from aggregate data. </t>
    </r>
  </si>
  <si>
    <t>Public and publicly guaranteed debt service is the sum of principal repayments and interest actually paid in foreign currency, goods, or services on long-term obligations of public debtors and long-term private obligations guaranteed by a public entity. Exports refer to exports of goods, services, and income. Workers' remittances are not included here, though they are included with income receipts in other World Bank publications such as Global Development Finance.</t>
  </si>
  <si>
    <t>Public and publicly guaranteed debt service is the sum of principal repayments and interest actually paid in foreign currency, goods, or services on long-term obligations of public debtors and long-term private obligations guaranteed by a public entity. Exports refer to exports of goods, services, and income.</t>
  </si>
  <si>
    <t>ER.LND.PTLD.ZS</t>
  </si>
  <si>
    <t>Terrestrial protected areas are those officially documented by national authorities.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</si>
  <si>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</si>
  <si>
    <t>FM.AST.DOMS.CN</t>
  </si>
  <si>
    <t>Net domestic credit is the sum of net credit to the nonfinancial public sector, credit to the private sector, and other accounts. Data are in current local currency.</t>
  </si>
  <si>
    <t>Net domestic credit is the sum of net claims on the central government and claims on other sectors of the domestic economy (IFS line 32).  Data are in current local currency.</t>
  </si>
  <si>
    <t>FR.INR.DPST</t>
  </si>
  <si>
    <t>Deposit interest rate is the rate paid by commercial or similar banks for demand, time, or savings deposits.</t>
  </si>
  <si>
    <t>Deposit interest rate is the rate paid by commercial or similar banks for demand, time, or savings deposits. The terms and conditions attached to these rates differ by country, however, limiting their comparability.</t>
  </si>
  <si>
    <t>FR.INR.LEND</t>
  </si>
  <si>
    <t>Lending interest rate is the rate charged by banks on loans to prime customers.</t>
  </si>
  <si>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t>
  </si>
  <si>
    <t>FR.INR.LNDP</t>
  </si>
  <si>
    <t>Interest rate spread is the interest rate charged by banks on loans to prime customers minus the interest rate paid by commercial or similar banks for demand, time, or savings deposits.</t>
  </si>
  <si>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t>
  </si>
  <si>
    <t>Risk premium on lending is the interest rate charged by banks on loans to prime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t>
  </si>
  <si>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t>
  </si>
  <si>
    <t>IC.BUS.EASE.XQ</t>
  </si>
  <si>
    <t>Ease of doing business index ranks economies from 1 to 183, with first place being the best. A high ranking means that the regulatory environment is conducive to business operation. The index ranks the simple average of the country's percentile rankings on 10 topics covered in the World Bank's Doing Business. The ranking on each topic is the simple average of the percentile rankings on its component indicators.</t>
  </si>
  <si>
    <t>Ease of doing business ranks economies from 1 to 183, with first place being the best. A high ranking (a low numerical rank) means that the regulatory environment is conducive to business operation. The index averages the country's percentile rankings on 10 topics covered in the World Bank's Doing Business. The ranking on each topic is the simple average of the percentile rankings on its component indicators.</t>
  </si>
  <si>
    <t>IE.PPI.TELE.CD</t>
  </si>
  <si>
    <t>Investment in telecom projects with private participation covers infrastructure projects in telecommunications that have reached financial closure and directly or indirectly serve the public. Movable assets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are in current U.S. dollars.</t>
  </si>
  <si>
    <t>Investment in telecom projects with private participation covers infrastructure projects in telecommunications that have reached financial closure and directly or indirectly serve the public.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are in current U.S. dollars.</t>
  </si>
  <si>
    <t>IE.PPI.TRAN.CD</t>
  </si>
  <si>
    <t>Investment in transport projects with private participation covers infrastructure projects in transport that have reached financial closure and directly or indirectly serve the public. Movable assets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are in current U.S. dollars.</t>
  </si>
  <si>
    <t>Investment in transport projects with private participation covers infrastructure projects in transport that have reached financial closure and directly or indirectly serve the public.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are in current U.S. dollars.</t>
  </si>
  <si>
    <t>IE.PPI.WATR.CD</t>
  </si>
  <si>
    <t>Investment in water and sanitation projects with private participation covers infrastructure projects in water and sanitation that have reached financial closure and directly or indirectly serve the public. Movable assets, incinerators, and standalone solid waste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are in current U.S. dollars.</t>
  </si>
  <si>
    <t>Investment in water and sanitation projects with private participation covers infrastructure projects in water and sanitation that have reached financial closure and directly or indirectly serve the public. Movable assets, incinerators, standalone solid waste projects,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are in current U.S. dollars.</t>
  </si>
  <si>
    <t>IQ.CPA.PUBS.XQ</t>
  </si>
  <si>
    <t>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</si>
  <si>
    <t>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</si>
  <si>
    <t>SE.ENR.PRIM.FM.ZS</t>
  </si>
  <si>
    <t>Ratio of female to male primary enrollment is the ratio of the female to male gross enrollment rates in primary school.</t>
  </si>
  <si>
    <t>Ratio of female to male primary enrollment is the percentage of girls to boys enrolled at primary level in public and private schools.</t>
  </si>
  <si>
    <t>SE.ENR.PRSC.FM.ZS</t>
  </si>
  <si>
    <t>Ratio of girls to boys in primary and secondary education is the ratio of the female to male gross enrollment rates in primary and secondary school.</t>
  </si>
  <si>
    <t>Ratio of girls to boys in primary and secondary education is the percentage of girls to boys enrolled at primary and secondary levels in public and private schools.</t>
  </si>
  <si>
    <t>SE.ENR.SECO.FM.ZS</t>
  </si>
  <si>
    <t>Ratio of female to male secondary enrollment is the ratio of the female to male gross enrollment rates in secondary school.</t>
  </si>
  <si>
    <t>Ratio of female to male secondary enrollment is the percentage of girls to boys enrolled at secondary level in public and private schools.</t>
  </si>
  <si>
    <t>SE.ENR.TERT.FM.ZS</t>
  </si>
  <si>
    <t>Ratio of female to male tertiary enrollment is the ratio of the female to male gross enrollment rates in tertiary school.</t>
  </si>
  <si>
    <t>Ratio of female to male tertiary enrollment is the percentage of men to women enrolled at tertiary level in public and private schools.</t>
  </si>
  <si>
    <t>Total enrollment is the number of pupils of the school-age group for primary education, enrolled either in primary or secondary education, expressed as a percentage of the total population in that age group.</t>
  </si>
  <si>
    <t>Adjusted net enrollment is the number of pupils of the school-age group for primary education, enrolled either in primary or secondary education, expressed as a percentage of the total population in that age group.</t>
  </si>
  <si>
    <t>SH.TBS.INCD</t>
  </si>
  <si>
    <t>Incidence of tuberculosis is the estimated number of new pulmonary, smear positive, and extra-pulmonary tuberculosis cases.</t>
  </si>
  <si>
    <t>Incidence of tuberculosis is the estimated number of new pulmonary, smear positive, and extra-pulmonary tuberculosis cases. Incidence includes patients with HIV.</t>
  </si>
  <si>
    <t>SH.TBS.MORT</t>
  </si>
  <si>
    <t>Tuberculosis death rate is the number of deaths from tuberculosis per 100,000 population. Incidence, prevalence and mortality estimates include patients with HIV. Estimates for all years are re-calculated as new information becomes available and techniques are refined, so they may differ from those published previously.</t>
  </si>
  <si>
    <t>Tuberculosis death rate is the number of deaths from tuberculosis per 100,000 population. Tuberculosis death rate excludes patients with HIV. Estimates for all years are re-calculated as new information becomes available and techniques are refined, so they may differ from those published previously.</t>
  </si>
  <si>
    <t>SH.TBS.PREV</t>
  </si>
  <si>
    <t>Tuberculosis prevalence rate is the number of illnesses, accidents or sick persons per 100,000 population, without distinction between new and old cases. Incidence, prevalence and mortality estimates include patients with HIV. Estimates for all years are re-calculated as new information becomes available and techniques are refined, so they may differ from those published previously.</t>
  </si>
  <si>
    <t>Tuberculosis prevalence rate is the number of illnesses, accidents or sick persons per 100,000 population, without distinction between new and old cases. Prevalence includes patients with HIV. Estimates for all years are re-calculated as new information becomes available and techniques are refined, so they may differ from those published previously.</t>
  </si>
  <si>
    <t>SL.EMP.SELF.FE.ZS</t>
  </si>
  <si>
    <t>Self employed workers are those workers who, working on their own account or with one or a few partners or in cooperative, hold the type of jobs defined as a "self-employment jobs."</t>
  </si>
  <si>
    <t>Self 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 employed workers include three subcategories: employers, own-account workers, and members of producers' cooperatives.</t>
  </si>
  <si>
    <t>SL.EMP.SELF.MA.ZS</t>
  </si>
  <si>
    <t>SL.EMP.SELF.ZS</t>
  </si>
  <si>
    <t>Economically active children refer to children involved in economic activity for at least one hour in the reference week of the survey.</t>
  </si>
  <si>
    <t>Children in employment refer to children involved in economic activity for at least one hour in the reference week of the survey.</t>
  </si>
  <si>
    <t>Economically active children refer to children involved in economic activity for at least one hour in the reference week of the survey. Study and work refer to children attending school in combination with economic activity.</t>
  </si>
  <si>
    <t>Children in employment refer to children involved in economic activity for at least one hour in the reference week of the survey. Study and work refer to children attending school in combination with economic activity.</t>
  </si>
  <si>
    <t>Economically active children refer to children involved in economic activity for at least one hour in the reference week of the survey. Work only refers to children involved in economic activity and not attending school.</t>
  </si>
  <si>
    <t>Children in employment refer to children involved in economic activity for at least one hour in the reference week of the survey. Work only refers to children involved in economic activity and not attending school.</t>
  </si>
  <si>
    <t>Population ages 15 to 64 is the percentage of the total population that is in the age group 15 to 64. Population is based on the de facto definition of population.</t>
  </si>
  <si>
    <t>SP.POP.65UP.TO.ZS</t>
  </si>
  <si>
    <t>Population ages 65 and above as a percentage of the total population. Population is based on the de facto definition of population.</t>
  </si>
  <si>
    <t>Population ages 65 and above as a percentage of the total population. Population is based on the de facto definition of population, which counts all residents regardless of legal status or citizenship--except for refugees not permanently settled in the country of asylum, who are generally considered part of the population of the country of origin.</t>
  </si>
  <si>
    <t>SP.POP.TOTL.FE.ZS</t>
  </si>
  <si>
    <t>Female population is the percentage of the population that is female. Population is based on the de facto definition of population.</t>
  </si>
  <si>
    <t>Female population is the percentage of the population that is female. Population is based on the de facto definition of population, which counts all residents regardless of legal status or citizenship--except for refugees not permanently settled in the country of asylum, who are generally considered part of the population of the country of origin.</t>
  </si>
  <si>
    <t>TM.VAL.MRCH.HI.ZS</t>
  </si>
  <si>
    <t>Merchandise imports from high-income economies are the sum of merchandise imports by the reporting economy from high-income economies according to the World Bank classification of economies as of July 1, 2009. Data are expressed as a percentage of total merchandise imports by the economy. Data are computed only if at least half of the economies in the partner country group had non-missing data.</t>
  </si>
  <si>
    <t>Merchandise imports from high-income economies are the sum of merchandise imports by the reporting economy from high-income economies according to the World Bank classification of economies. Data are expressed as a percentage of total merchandise imports by the economy. Data are computed only if at least half of the economies in the partner country group had non-missing data.</t>
  </si>
  <si>
    <t>TM.VAL.MRCH.OR.ZS</t>
  </si>
  <si>
    <t>Merchandise imports from developing economies outside region are the sum of merchandise imports by the reporting economy from other developing economies in other World Bank regions according to the World Bank classification of economies as of July 1, 2009. Data are expressed as a percentage of total merchandise imports by the economy. Data are computed only if at least half of the economies in the partner country group had non-missing data.</t>
  </si>
  <si>
    <t>Merchandise imports from developing economies outside region are the sum of merchandise imports by the reporting economy from other developing economies in other World Bank regions according to the World Bank classification of economies. Data are expressed as a percentage of total merchandise imports by the economy. Data are computed only if at least half of the economies in the partner country group had non-missing data.</t>
  </si>
  <si>
    <t>TM.VAL.MRCH.R1.ZS</t>
  </si>
  <si>
    <t>Merchandise imports from developing economies in East Asia and Pacific are the sum of merchandise imports by the reporting economy from developing economies in the East Asia and Pacific region according to the World Bank classification of economies as of July 1, 2009. Data are expressed as a percentage of total merchandise imports by the economy. Data are computed only if at least half of the economies in the partner country group had non-missing data.</t>
  </si>
  <si>
    <t>Merchandise imports from developing economies in East Asia and Pacific are the sum of merchandise imports by the reporting economy from developing economies in the East Asia and Pacific region according to the World Bank classification of economies. Data are expressed as a percentage of total merchandise imports by the economy. Data are computed only if at least half of the economies in the partner country group had non-missing data.</t>
  </si>
  <si>
    <t>TM.VAL.MRCH.R2.ZS</t>
  </si>
  <si>
    <t>Merchandise imports from developing economies in Europe and Central Asia are the sum of merchandise imports by the reporting economy from developing economies in the Europe and Central Asia region according to the World Bank classification of economies as of July 1, 2009. Data are expressed as a percentage of total merchandise imports by the economy. Data are computed only if at least half of the economies in the partner country group had non-missing data.</t>
  </si>
  <si>
    <t>Merchandise imports from developing economies in Europe and Central Asia are the sum of merchandise imports by the reporting economy from developing economies in the Europe and Central Asia region according to the World Bank classification of economies. Data are expressed as a percentage of total merchandise imports by the economy. Data are computed only if at least half of the economies in the partner country group had non-missing data.</t>
  </si>
  <si>
    <t>TM.VAL.MRCH.R3.ZS</t>
  </si>
  <si>
    <t>Merchandise imports from developing economies in Latin America and the Caribbean are the sum of merchandise imports by the reporting economy from developing economies in the Latin America and the Caribbean region according to the World Bank classification of economies as of July 1, 2009. Data are expressed as a percentage of total merchandise imports by the economy. Data are computed only if at least half of the economies in the partner country group had non-missing data.</t>
  </si>
  <si>
    <t>Merchandise imports from developing economies in Latin America and the Caribbean are the sum of merchandise imports by the reporting economy from developing economies in the Latin America and the Caribbean region according to the World Bank classification of economies. Data are expressed as a percentage of total merchandise imports by the economy. Data are computed only if at least half of the economies in the partner country group had non-missing data.</t>
  </si>
  <si>
    <t>TM.VAL.MRCH.R4.ZS</t>
  </si>
  <si>
    <t>Merchandise imports from developing economies in Middle East and North Africa are the sum of merchandise imports by the reporting economy from developing economies in the Middle East and North Africa region according to the World Bank classification of economies as of July 1, 2009. Data are expressed as a percentage of total merchandise imports by the economy. Data are computed only if at least half of the economies in the partner country group had non-missing data.</t>
  </si>
  <si>
    <t>Merchandise imports from developing economies in Middle East and North Africa are the sum of merchandise imports by the reporting economy from developing economies in the Middle East and North Africa region according to the World Bank classification of economies. Data are expressed as a percentage of total merchandise imports by the economy. Data are computed only if at least half of the economies in the partner country group had non-missing data.</t>
  </si>
  <si>
    <t>TM.VAL.MRCH.R5.ZS</t>
  </si>
  <si>
    <t>Merchandise imports from developing economies in South Asia are the sum of merchandise imports by the reporting economy from developing economies in the South Asia region according to the World Bank classification of economies as of July 1, 2009. Data are expressed as a percentage of total merchandise imports by the economy. Data are computed only if at least half of the economies in the partner country group had non-missing data.</t>
  </si>
  <si>
    <t>Merchandise imports from developing economies in South Asia are the sum of merchandise imports by the reporting economy from developing economies in the South Asia region according to the World Bank classification of economies. Data are expressed as a percentage of total merchandise imports by the economy. Data are computed only if at least half of the economies in the partner country group had non-missing data.</t>
  </si>
  <si>
    <t>TM.VAL.MRCH.R6.ZS</t>
  </si>
  <si>
    <t>Merchandise imports from developing economies in Sub-Saharan Africa are the sum of merchandise imports by the reporting economy from developing economies in the Sub-Saharan Africa region according to the World Bank classification of economies as of July 1, 2009. Data are expressed as a percentage of total merchandise imports by the economy. Data are computed only if at least half of the economies in the partner country group had non-missing data.</t>
  </si>
  <si>
    <t>Merchandise imports from developing economies in Sub-Saharan Africa are the sum of merchandise imports by the reporting economy from developing economies in the Sub-Saharan Africa region according to the World Bank classification of economies. Data are expressed as a percentage of total merchandise imports by the economy. Data are computed only if at least half of the economies in the partner country group had non-missing data.</t>
  </si>
  <si>
    <t>TM.VAL.MRCH.RS.ZS</t>
  </si>
  <si>
    <t>Merchandise imports by the reporting economy residuals are the total merchandise imports by the reporting economy from the rest of the world as reported in the IMF's Direction of trade database, less the sum of imports by the reporting economy from high-, low-, and middle-income economies according to the World Bank classification of economies as of July 1, 2009. Includes trade with unspecified partners or with economies not covered by World Bank classification. Data are as a percentage of total merchandise imports by the economy.</t>
  </si>
  <si>
    <t>Merchandise imports by the reporting economy residuals are the total merchandise imports by the reporting economy from the rest of the world as reported in the IMF's Direction of trade database, less the sum of imports by the reporting economy from high-, low-, and middle-income economies according to the World Bank classification of economies. Includes trade with unspecified partners or with economies not covered by World Bank classification. Data are as a percentage of total merchandise imports by the economy.</t>
  </si>
  <si>
    <t>TM.VAL.MRCH.WR.ZS</t>
  </si>
  <si>
    <t>Merchandise imports from developing economies within region are the sum of merchandise imports by the reporting economy from other developing economies in the same World Bank region according to the World Bank classification of economies as of July 1, 2009.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</si>
  <si>
    <t>Merchandise imports from developing economies within region are the sum of merchandise imports by the reporting economy from other developing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</si>
  <si>
    <t>TX.VAL.MRCH.HI.ZS</t>
  </si>
  <si>
    <t>Merchandise exports to high-income economies are the sum of merchandise exports from the reporting economy to high-income economies according to the World Bank classification of economies as of July 1, 2009. Data are expressed as a percentage of total merchandise exports by the economy. Data are computed only if at least half of the economies in the partner country group had non-missing data.</t>
  </si>
  <si>
    <t>Merchandise exports to high-income economies are the sum of merchandise exports from the reporting economy to high-income economies according to the World Bank classification of economies. Data are expressed as a percentage of total merchandise exports by the economy. Data are computed only if at least half of the economies in the partner country group had non-missing data.</t>
  </si>
  <si>
    <t>TX.VAL.MRCH.OR.ZS</t>
  </si>
  <si>
    <t>Merchandise exports to developing economies outside region are the sum of merchandise exports from the reporting economy to other developing economies in other World Bank regions according to the World Bank classification of economies as of July 1, 2009. Data are expressed as a percentage of total merchandise exports by the economy. Data are computed only if at least half of the economies in the partner country group had non-missing data.</t>
  </si>
  <si>
    <t>Merchandise exports to developing economies outside region are the sum of merchandise exports from the reporting economy to other developing economies in other World Bank regions according to the World Bank classification of economies. Data are expressed as a percentage of total merchandise exports by the economy. Data are computed only if at least half of the economies in the partner country group had non-missing data.</t>
  </si>
  <si>
    <t>TX.VAL.MRCH.R1.ZS</t>
  </si>
  <si>
    <t>Merchandise exports to developing economies in East Asia and Pacific are the sum of merchandise exports from the reporting economy to developing economies in the East Asia and Pacific region according to World Bank classification of economies as of July 1, 2009. Data are as a percentage of total merchandise exports by the economy. Data are computed only if at least half of the economies in the partner country group had non-missing data.</t>
  </si>
  <si>
    <t>Merchandise exports to developing economies in East Asia and Pacific are the sum of merchandise exports from the reporting economy to developing economies in the East Asia and Pacific region according to World Bank classification of economies. Data are as a percentage of total merchandise exports by the economy. Data are computed only if at least half of the economies in the partner country group had non-missing data.</t>
  </si>
  <si>
    <t>TX.VAL.MRCH.R2.ZS</t>
  </si>
  <si>
    <t>Merchandise exports to developing economies in Europe and Central Asia are the sum of merchandise exports from the reporting economy to developing economies in the Europe and Central Asia region according to World Bank classification of economies as of July 1, 2009. Data are as a percentage of total merchandise exports by the economy. Data are computed only if at least half of the economies in the partner country group had non-missing data.</t>
  </si>
  <si>
    <t>Merchandise exports to developing economies in Europe and Central Asia are the sum of merchandise exports from the reporting economy to developing economies in the Europe and Central Asia region according to World Bank classification of economies. Data are as a percentage of total merchandise exports by the economy. Data are computed only if at least half of the economies in the partner country group had non-missing data.</t>
  </si>
  <si>
    <t>TX.VAL.MRCH.R3.ZS</t>
  </si>
  <si>
    <t>Merchandise exports to developing economies in Latin America and the Caribbean are the sum of merchandise exports from the reporting economy to developing economies in the Latin America and the Caribbean region according to World Bank classification of economies as of July 1, 2009. Data are as a percentage of total merchandise exports by the economy. Data are computed only if at least half of the economies in the partner country group had non-missing data.</t>
  </si>
  <si>
    <t>Merchandise exports to developing economies in Latin America and the Caribbean are the sum of merchandise exports from the reporting economy to developing economies in the Latin America and the Caribbean region according to World Bank classification of economies. Data are as a percentage of total merchandise exports by the economy. Data are computed only if at least half of the economies in the partner country group had non-missing data.</t>
  </si>
  <si>
    <t>TX.VAL.MRCH.R4.ZS</t>
  </si>
  <si>
    <t>Merchandise exports to developing economies in Middle East and North Africa are the sum of merchandise exports from the reporting economy to developing economies in the Middle East and North Africa region according to World Bank classification of economies as of July 1, 2009. Data are as a percentage of total merchandise exports by the economy. Data are computed only if at least half of the economies in the partner country group had non-missing data.</t>
  </si>
  <si>
    <t>Merchandise exports to developing economies in Middle East and North Africa are the sum of merchandise exports from the reporting economy to developing economies in the Middle East and North Africa region according to World Bank classification of economies. Data are as a percentage of total merchandise exports by the economy. Data are computed only if at least half of the economies in the partner country group had non-missing data.</t>
  </si>
  <si>
    <t>TX.VAL.MRCH.R5.ZS</t>
  </si>
  <si>
    <t>Merchandise exports to developing economies in South Asia are the sum of merchandise exports from the reporting economy to developing economies in the South Asia region according to World Bank classification of economies as of July 1, 2009. Data are as a percentage of total merchandise exports by the economy. Data are computed only if at least half of the economies in the partner country group had non-missing data.</t>
  </si>
  <si>
    <t>Merchandise exports to developing economies in South Asia are the sum of merchandise exports from the reporting economy to developing economies in the South Asia region according to World Bank classification of economies. Data are as a percentage of total merchandise exports by the economy. Data are computed only if at least half of the economies in the partner country group had non-missing data.</t>
  </si>
  <si>
    <t>TX.VAL.MRCH.R6.ZS</t>
  </si>
  <si>
    <t>Merchandise exports to developing economies in Sub-Saharan Africa are the sum of merchandise exports from the reporting economy to developing economies in the Sub-Saharan Africa region according to World Bank classification of economies as of July 1, 2009. Data are as a percentage of total merchandise exports by the economy. Data are computed only if at least half of the economies in the partner country group had non-missing data.</t>
  </si>
  <si>
    <t>Merchandise exports to developing economies in Sub-Saharan Africa are the sum of merchandise exports from the reporting economy to developing economies in the Sub-Saharan Africa region according to World Bank classification of economies. Data are as a percentage of total merchandise exports by the economy. Data are computed only if at least half of the economies in the partner country group had non-missing data.</t>
  </si>
  <si>
    <t>TX.VAL.MRCH.RS.ZS</t>
  </si>
  <si>
    <t>Merchandise exports by the reporting economy residuals are the total merchandise exports by the reporting economy to the rest of the world as reported in the IMF's Direction of trade database, less the sum of exports by the reporting economy to high-, low-, and middle-income economies according to the World Bank classification of economies as of July 1, 2009. Includes trade with unspecified partners or with economies not covered by World Bank classification. Data are as a percentage of total merchandise exports by the economy.</t>
  </si>
  <si>
    <t>Merchandise exports by the reporting economy residuals are the total merchandise exports by the reporting economy to the rest of the world as reported in the IMF's Direction of trade database, less the sum of exports by the reporting economy to high-, low-, and middle-income economies according to the World Bank classification of economies. Includes trade with unspecified partners or with economies not covered by World Bank classification. Data are as a percentage of total merchandise exports by the economy.</t>
  </si>
  <si>
    <t>Change in source (277)</t>
  </si>
  <si>
    <t>BM.KLT.DINV.GD.ZS</t>
  </si>
  <si>
    <t>International Monetary Fund, International Financial Statistics and Balance of Payments databases, World Bank, Global Development Finance, and World Bank and OECD GDP estimates.</t>
  </si>
  <si>
    <t>International Monetary Fund, International Financial Statistics and Balance of Payments databases, World Bank, International Debt Statistics, and World Bank and OECD GDP estimates.</t>
  </si>
  <si>
    <t>World Bank, Global Development Finance.</t>
  </si>
  <si>
    <t>World Bank, International Debt Statistics.</t>
  </si>
  <si>
    <t>World Bank, International Debt Statistics, and OECD.</t>
  </si>
  <si>
    <t>BX.GSR.INCL.CD</t>
  </si>
  <si>
    <t>BX.KLT.DINV.WD.GD.ZS</t>
  </si>
  <si>
    <t>BX.KLT.PRVT.CD.DT</t>
  </si>
  <si>
    <t>BX.KLT.PRVT.GI.ZS.DT</t>
  </si>
  <si>
    <t>BX.KLT.PRVT.ZS.DT</t>
  </si>
  <si>
    <t>BX.PEF.TOTL.CD.WD</t>
  </si>
  <si>
    <t>International Monetary Fund, Balance of Payments database, and World Bank, Global Development Finance.</t>
  </si>
  <si>
    <t>International Monetary Fund, Balance of Payments database, and World Bank, International Debt Statistics.</t>
  </si>
  <si>
    <t>DT.AMT.BLAT.CD</t>
  </si>
  <si>
    <t>DT.AMT.BLTC.CD</t>
  </si>
  <si>
    <t>DT.AMT.DIMF.CD</t>
  </si>
  <si>
    <t>DT.AMT.DLTF.CD</t>
  </si>
  <si>
    <t>DT.AMT.DLXF.CD</t>
  </si>
  <si>
    <t>DT.AMT.DPNG.CD</t>
  </si>
  <si>
    <t>DT.AMT.DPPG.CD</t>
  </si>
  <si>
    <t>DT.AMT.MIBR.CD</t>
  </si>
  <si>
    <t>DT.AMT.MIDA.CD</t>
  </si>
  <si>
    <t>DT.AMT.MLAT.CD</t>
  </si>
  <si>
    <t>DT.AMT.MLTC.CD</t>
  </si>
  <si>
    <t>DT.AMT.OFFT.CD</t>
  </si>
  <si>
    <t>DT.AMT.PBND.CD</t>
  </si>
  <si>
    <t>DT.AMT.PCBK.CD</t>
  </si>
  <si>
    <t>DT.AMT.PNGB.CD</t>
  </si>
  <si>
    <t>DT.AMT.PNGC.CD</t>
  </si>
  <si>
    <t>DT.AMT.PROP.CD</t>
  </si>
  <si>
    <t>DT.AMT.PRVT.CD</t>
  </si>
  <si>
    <t>DT.AXA.DPPG.CD</t>
  </si>
  <si>
    <t>DT.AXA.OFFT.CD</t>
  </si>
  <si>
    <t>DT.AXA.PRVT.CD</t>
  </si>
  <si>
    <t>DT.AXF.DPPG.CD</t>
  </si>
  <si>
    <t>DT.AXR.DPPG.CD</t>
  </si>
  <si>
    <t>DT.AXR.OFFT.CD</t>
  </si>
  <si>
    <t>DT.AXR.PRVT.CD</t>
  </si>
  <si>
    <t>DT.COM.DPPG.CD</t>
  </si>
  <si>
    <t>DT.COM.MIBR.CD</t>
  </si>
  <si>
    <t>DT.COM.MIDA.CD</t>
  </si>
  <si>
    <t>DT.COM.OFFT.CD</t>
  </si>
  <si>
    <t>DT.COM.PRVT.CD</t>
  </si>
  <si>
    <t>DT.CUR.DMAK.ZS</t>
  </si>
  <si>
    <t>DT.CUR.EURO.ZS</t>
  </si>
  <si>
    <t>DT.CUR.FFRC.ZS</t>
  </si>
  <si>
    <t>DT.CUR.JYEN.ZS</t>
  </si>
  <si>
    <t>DT.CUR.MULC.ZS</t>
  </si>
  <si>
    <t>DT.CUR.OTHC.ZS</t>
  </si>
  <si>
    <t>DT.CUR.SDRW.ZS</t>
  </si>
  <si>
    <t>DT.CUR.SWFR.ZS</t>
  </si>
  <si>
    <t>DT.CUR.UKPS.ZS</t>
  </si>
  <si>
    <t>DT.CUR.USDL.ZS</t>
  </si>
  <si>
    <t>DT.DFR.DPPG.CD</t>
  </si>
  <si>
    <t>DT.DIS.BLAT.CD</t>
  </si>
  <si>
    <t>DT.DIS.BLTC.CD</t>
  </si>
  <si>
    <t>DT.DIS.DIMF.CD</t>
  </si>
  <si>
    <t>DT.DIS.DLTF.CD</t>
  </si>
  <si>
    <t>DT.DIS.DLXF.CD</t>
  </si>
  <si>
    <t>DT.DIS.DPNG.CD</t>
  </si>
  <si>
    <t>DT.DIS.DPPG.CD</t>
  </si>
  <si>
    <t>DT.DIS.MIBR.CD</t>
  </si>
  <si>
    <t>DT.DIS.MIDA.CD</t>
  </si>
  <si>
    <t>DT.DIS.MLAT.CD</t>
  </si>
  <si>
    <t>DT.DIS.MLTC.CD</t>
  </si>
  <si>
    <t>DT.DIS.OFFT.CD</t>
  </si>
  <si>
    <t>DT.DIS.PBND.CD</t>
  </si>
  <si>
    <t>DT.DIS.PCBK.CD</t>
  </si>
  <si>
    <t>DT.DIS.PNGB.CD</t>
  </si>
  <si>
    <t>DT.DIS.PNGC.CD</t>
  </si>
  <si>
    <t>DT.DIS.PROP.CD</t>
  </si>
  <si>
    <t>DT.DIS.PRVT.CD</t>
  </si>
  <si>
    <t>DT.DOD.ALLC.CD</t>
  </si>
  <si>
    <t>DT.DOD.ALLC.ZS</t>
  </si>
  <si>
    <t>DT.DOD.BLAT.CD</t>
  </si>
  <si>
    <t>DT.DOD.BLTC.CD</t>
  </si>
  <si>
    <t>DT.DOD.DECT.CD</t>
  </si>
  <si>
    <t>DT.DOD.DECT.CD.CG</t>
  </si>
  <si>
    <t>DT.DOD.DECT.GN.ZS</t>
  </si>
  <si>
    <t>DT.DOD.DLXF.CD</t>
  </si>
  <si>
    <t>DT.DOD.DPNG.CD</t>
  </si>
  <si>
    <t>DT.DOD.DPPG.CD</t>
  </si>
  <si>
    <t>DT.DOD.DSTC.CD</t>
  </si>
  <si>
    <t>DT.DOD.DSTC.IR.ZS</t>
  </si>
  <si>
    <t>DT.DOD.DSTC.ZS</t>
  </si>
  <si>
    <t>DT.DOD.MIBR.CD</t>
  </si>
  <si>
    <t>DT.DOD.MIDA.CD</t>
  </si>
  <si>
    <t>DT.DOD.MLAT.CD</t>
  </si>
  <si>
    <t>DT.DOD.MLAT.ZS</t>
  </si>
  <si>
    <t>DT.DOD.MLTC.CD</t>
  </si>
  <si>
    <t>DT.DOD.MWBG.CD</t>
  </si>
  <si>
    <t>DT.DOD.OFFT.CD</t>
  </si>
  <si>
    <t>DT.DOD.PBND.CD</t>
  </si>
  <si>
    <t>DT.DOD.PCBK.CD</t>
  </si>
  <si>
    <t>DT.DOD.PNGB.CD</t>
  </si>
  <si>
    <t>DT.DOD.PNGC.CD</t>
  </si>
  <si>
    <t>DT.DOD.PROP.CD</t>
  </si>
  <si>
    <t>DT.DOD.PRVS.CD</t>
  </si>
  <si>
    <t>DT.DOD.PRVT.CD</t>
  </si>
  <si>
    <t>DT.DOD.PUBS.CD</t>
  </si>
  <si>
    <t>DT.DOD.PVLX.CD</t>
  </si>
  <si>
    <t>DT.DOD.PVLX.GN.ZS</t>
  </si>
  <si>
    <t>DT.DOD.RSDL.CD</t>
  </si>
  <si>
    <t>DT.DOD.VTOT.CD</t>
  </si>
  <si>
    <t>DT.DSB.DPPG.CD</t>
  </si>
  <si>
    <t>DT.DSF.DPPG.CD</t>
  </si>
  <si>
    <t>DT.DXR.DPPG.CD</t>
  </si>
  <si>
    <t>DT.GPA.DPPG</t>
  </si>
  <si>
    <t>DT.GPA.OFFT</t>
  </si>
  <si>
    <t>DT.GPA.PRVT</t>
  </si>
  <si>
    <t>DT.GRE.DPPG</t>
  </si>
  <si>
    <t>DT.GRE.OFFT</t>
  </si>
  <si>
    <t>DT.GRE.PRVT</t>
  </si>
  <si>
    <t>DT.INR.DPPG</t>
  </si>
  <si>
    <t>DT.INR.OFFT</t>
  </si>
  <si>
    <t>DT.INR.PRVT</t>
  </si>
  <si>
    <t>DT.INT.BLAT.CD</t>
  </si>
  <si>
    <t>DT.INT.BLTC.CD</t>
  </si>
  <si>
    <t>DT.INT.DECT.CD</t>
  </si>
  <si>
    <t>DT.INT.DECT.GN.ZS</t>
  </si>
  <si>
    <t>DT.INT.DIMF.CD</t>
  </si>
  <si>
    <t>DT.INT.DLXF.CD</t>
  </si>
  <si>
    <t>DT.INT.DPNG.CD</t>
  </si>
  <si>
    <t>DT.INT.DPPG.CD</t>
  </si>
  <si>
    <t>DT.INT.DSTC.CD</t>
  </si>
  <si>
    <t>DT.INT.MIBR.CD</t>
  </si>
  <si>
    <t>DT.INT.MIDA.CD</t>
  </si>
  <si>
    <t>DT.INT.MLAT.CD</t>
  </si>
  <si>
    <t>DT.INT.MLTC.CD</t>
  </si>
  <si>
    <t>DT.INT.OFFT.CD</t>
  </si>
  <si>
    <t>DT.INT.PBND.CD</t>
  </si>
  <si>
    <t>DT.INT.PCBK.CD</t>
  </si>
  <si>
    <t>DT.INT.PNGB.CD</t>
  </si>
  <si>
    <t>DT.INT.PNGC.CD</t>
  </si>
  <si>
    <t>DT.INT.PROP.CD</t>
  </si>
  <si>
    <t>DT.INT.PRVT.CD</t>
  </si>
  <si>
    <t>DT.IXA.DPPG.CD</t>
  </si>
  <si>
    <t>DT.IXA.DPPG.CD.CG</t>
  </si>
  <si>
    <t>DT.IXA.OFFT.CD</t>
  </si>
  <si>
    <t>DT.IXA.PRVT.CD</t>
  </si>
  <si>
    <t>DT.IXF.DPPG.CD</t>
  </si>
  <si>
    <t>DT.IXR.DPPG.CD</t>
  </si>
  <si>
    <t>DT.IXR.OFFT.CD</t>
  </si>
  <si>
    <t>DT.IXR.PRVT.CD</t>
  </si>
  <si>
    <t>DT.MAT.DPPG</t>
  </si>
  <si>
    <t>DT.MAT.OFFT</t>
  </si>
  <si>
    <t>DT.MAT.PRVT</t>
  </si>
  <si>
    <t>DT.NFL.BLAT.CD</t>
  </si>
  <si>
    <t>DT.NFL.BLTC.CD</t>
  </si>
  <si>
    <t>DT.NFL.BOND.CD</t>
  </si>
  <si>
    <t>DT.NFL.DECT.CD</t>
  </si>
  <si>
    <t>DT.NFL.DLXF.CD</t>
  </si>
  <si>
    <t>DT.NFL.DPNG.CD</t>
  </si>
  <si>
    <t>DT.NFL.DPPG.CD</t>
  </si>
  <si>
    <t>DT.NFL.DSTC.CD</t>
  </si>
  <si>
    <t>DT.NFL.IMFC.CD</t>
  </si>
  <si>
    <t>DT.NFL.IMFN.CD</t>
  </si>
  <si>
    <t>DT.NFL.MIBR.CD</t>
  </si>
  <si>
    <t>DT.NFL.MIDA.CD</t>
  </si>
  <si>
    <t>DT.NFL.MLAT.CD</t>
  </si>
  <si>
    <t>DT.NFL.MLTC.CD</t>
  </si>
  <si>
    <t>DT.NFL.MOTH.CD</t>
  </si>
  <si>
    <t>DT.NFL.MTOT.CD</t>
  </si>
  <si>
    <t>DT.NFL.NEBR.CD</t>
  </si>
  <si>
    <t>DT.NFL.NIFC.CD</t>
  </si>
  <si>
    <t>DT.NFL.OFFT.CD</t>
  </si>
  <si>
    <t>DT.NFL.PBND.CD</t>
  </si>
  <si>
    <t>DT.NFL.PCBK.CD</t>
  </si>
  <si>
    <t>DT.NFL.PCBO.CD</t>
  </si>
  <si>
    <t>DT.NFL.PNGB.CD</t>
  </si>
  <si>
    <t>DT.NFL.PNGC.CD</t>
  </si>
  <si>
    <t>DT.NFL.PROP.CD</t>
  </si>
  <si>
    <t>DT.NFL.PRVT.CD</t>
  </si>
  <si>
    <t>DT.NFL.RDBC.CD</t>
  </si>
  <si>
    <t>DT.NFL.RDBN.CD</t>
  </si>
  <si>
    <t>DT.NTR.BLAT.CD</t>
  </si>
  <si>
    <t>DT.NTR.BLTC.CD</t>
  </si>
  <si>
    <t>DT.NTR.DECT.CD</t>
  </si>
  <si>
    <t>DT.NTR.DLXF.CD</t>
  </si>
  <si>
    <t>DT.NTR.DPNG.CD</t>
  </si>
  <si>
    <t>DT.NTR.DPPG.CD</t>
  </si>
  <si>
    <t>DT.NTR.MIBR.CD</t>
  </si>
  <si>
    <t>DT.NTR.MIDA.CD</t>
  </si>
  <si>
    <t>DT.NTR.MLAT.CD</t>
  </si>
  <si>
    <t>DT.NTR.MLTC.CD</t>
  </si>
  <si>
    <t>DT.NTR.OFFT.CD</t>
  </si>
  <si>
    <t>DT.NTR.PBND.CD</t>
  </si>
  <si>
    <t>DT.NTR.PCBK.CD</t>
  </si>
  <si>
    <t>DT.NTR.PNGB.CD</t>
  </si>
  <si>
    <t>DT.NTR.PNGC.CD</t>
  </si>
  <si>
    <t>DT.NTR.PROP.CD</t>
  </si>
  <si>
    <t>DT.NTR.PRVT.CD</t>
  </si>
  <si>
    <t>DT.TDS.BLAT.CD</t>
  </si>
  <si>
    <t>DT.TDS.BLTC.CD</t>
  </si>
  <si>
    <t>DT.TDS.DECT.CD</t>
  </si>
  <si>
    <t>DT.TDS.DECT.GN.ZS</t>
  </si>
  <si>
    <t>DT.TDS.DIMF.CD</t>
  </si>
  <si>
    <t>DT.TDS.DLXF.CD</t>
  </si>
  <si>
    <t>DT.TDS.DPNG.CD</t>
  </si>
  <si>
    <t>DT.TDS.DPPG.CD</t>
  </si>
  <si>
    <t>DT.TDS.DPPG.GN.ZS</t>
  </si>
  <si>
    <t>DT.TDS.MIBR.CD</t>
  </si>
  <si>
    <t>DT.TDS.MIDA.CD</t>
  </si>
  <si>
    <t>DT.TDS.MLAT.CD</t>
  </si>
  <si>
    <t>DT.TDS.MLAT.PG.ZS</t>
  </si>
  <si>
    <t>DT.TDS.MLTC.CD</t>
  </si>
  <si>
    <t>DT.TDS.OFFT.CD</t>
  </si>
  <si>
    <t>DT.TDS.PBND.CD</t>
  </si>
  <si>
    <t>DT.TDS.PCBK.CD</t>
  </si>
  <si>
    <t>DT.TDS.PNGB.CD</t>
  </si>
  <si>
    <t>DT.TDS.PNGC.CD</t>
  </si>
  <si>
    <t>DT.TDS.PROP.CD</t>
  </si>
  <si>
    <t>DT.TDS.PRVT.CD</t>
  </si>
  <si>
    <t>DT.TXR.DPPG.CD</t>
  </si>
  <si>
    <t>DT.UND.DPPG.CD</t>
  </si>
  <si>
    <t>DT.UND.OFFT.CD</t>
  </si>
  <si>
    <t>DT.UND.PRVT.CD</t>
  </si>
  <si>
    <t>FB.ATM.TOTL.P5</t>
  </si>
  <si>
    <t>Consultative Group to Assist the Poor and the World Bank Group’s "Financial Access 2010."</t>
  </si>
  <si>
    <t>International Monetary Fund, Financial Access Survey.</t>
  </si>
  <si>
    <t>FI.RES.TOTL.DT.ZS</t>
  </si>
  <si>
    <t>World Health Organization, OECD, supplemented by country data.</t>
  </si>
  <si>
    <t>Data after 2005 are extracted from the World Health Statistics Table 6 published by WHO. WHS data is based on PAHO basic indicators 2011. Washington, DC, Pan American Health Organization, 2011 (www.paho.org/English/SHA/coredata/tabulator/newTabulator.htm); European health for all database (HFA-DB). Copenhagen, WHO Regional Office for Europe, 2011 (http://data.euro.who.int/hfadb); Western Pacific Country Health Information Profiles 2011 Revision.  Manila, WHO Regional Office for the Western Pacific, 2010 (www.wpro.who.int/countries/countries.htm); Demographic, social and health indicators for countries of the Eastern Mediterranean. Cairo, WHO Regional Office for the Eastern Mediterranean, 2011; additional data compiled as of January 2011 by the WHO Regional Office for Africa and the WHO Regional Office for South-East Asia. Some data are supplemented by country data.</t>
  </si>
  <si>
    <t>SH.STA.MALN.ZS</t>
  </si>
  <si>
    <t>World Health Organization, Global Database on Child Growth and Malnutrition. Aggregation is based on UNICEF/WHO Joint Global Malnutrition Analysis Date Set 2011, and additional analysis by UNICEF.</t>
  </si>
  <si>
    <t>World Health Organization, Global Tuberculosis Control Report.</t>
  </si>
  <si>
    <t>World Health Organization, Global Tuberculosis Report.</t>
  </si>
  <si>
    <t>World Health Organization National Health Account database (www.who.int/nha/en) supplemented by country data.</t>
  </si>
  <si>
    <t>World Health Organization National Health Account database (www.who.int/nha/country/en/index.html) supplemented by country data.</t>
  </si>
  <si>
    <t>SI.DST.02ND.20</t>
  </si>
  <si>
    <t>World Bank, Development Research Group. Data are based on primary household survey data obtained from government statistical agencies and World Bank country departments. Data for high-income economies are from the Luxembourg Income Study database. For more information and methodology, please see PovcalNet (http://iresearch.worldbank.org/PovcalNet/jsp/index.jsp).</t>
  </si>
  <si>
    <t>World Bank, Development Research Group. Data are based on primary household survey data obtained from government statistical agencies and World Bank country departments. Data for high-income economies are from the Luxembourg Income Study database. For more information and methodology, please see PovcalNet (http://iresearch.worldbank.org/PovcalNet/index.htm).</t>
  </si>
  <si>
    <t>SI.DST.03RD.20</t>
  </si>
  <si>
    <t>SI.DST.04TH.20</t>
  </si>
  <si>
    <t>SI.DST.05TH.20</t>
  </si>
  <si>
    <t>SI.DST.10TH.10</t>
  </si>
  <si>
    <t>SI.DST.FRST.10</t>
  </si>
  <si>
    <t>SI.DST.FRST.20</t>
  </si>
  <si>
    <t>SI.POV.2DAY</t>
  </si>
  <si>
    <t>SI.POV.DDAY</t>
  </si>
  <si>
    <t>SI.POV.GAP2</t>
  </si>
  <si>
    <t>SI.POV.GAPS</t>
  </si>
  <si>
    <t>SI.POV.GINI</t>
  </si>
  <si>
    <t>United Nations Population Division, World Population Prospects 2008.</t>
  </si>
  <si>
    <t>United Nations Population Division, World Population Prospects.</t>
  </si>
  <si>
    <t>SP.DYN.AMRT.FE</t>
  </si>
  <si>
    <t>(1) United Nations Population Division. 2009. World Population Prospects: The 2008 Revision. New York, United Nations, Department of Economic and Social Affairs (advanced Excel tables). Available at http://esa.un.org/unpd/wpp2008/index.htm, (2) University of California, Berkeley, and Max Planck Institute for Demographic Research. Human Mortality Database. [ www.mortality.org or www.humanmortality.de].</t>
  </si>
  <si>
    <t>(1) United Nations Population Division. World Population Prospects. New York, United Nations, Department of Economic and Social Affairs (advanced Excel tables). Available at http://esa.un.org/wpp/unpp/panel_population.htm, (2) University of California, Berkeley, and Max Planck Institute for Demographic Research. Human Mortality Database. [ www.mortality.org or www.humanmortality.de].</t>
  </si>
  <si>
    <t>SP.DYN.AMRT.MA</t>
  </si>
  <si>
    <t>SP.DYN.CBRT.IN</t>
  </si>
  <si>
    <t>(1) United Nations Population Division. 2009. World Population Prospects: The 2008 Revision. New York, United Nations, Department of Economic and Social Affairs (advanced Excel tables), (2) United Nations Statistical Division. Population and Vital Statistics Report (various years), (3) Census reports and other statistical publications from national statistical offices, (4) Eurostat: Demographic Statistics, (5) Secretariat of the Pacific Community: Statistics and Demography Programme, and (6) U.S. Census Bureau: International Database.</t>
  </si>
  <si>
    <t>(1) United Nations Population Division. World Population Prospects, (2) United Nations Statistical Division. Population and Vital Statistics Reprot (various years), (3) Census reports and other statistical publications from national statistical offices, (4) Eurostat: Demographic Statistics, (5) Secretariat of the Pacific Community: Statistics and Demography Programme, and (6) U.S. Census Bureau: International Database.</t>
  </si>
  <si>
    <t>SP.DYN.CDRT.IN</t>
  </si>
  <si>
    <t>SP.DYN.LE00.FE.IN</t>
  </si>
  <si>
    <t>(1) United Nations Population Division. 2009. World Population Prospects: The 2008 Revision. New York, United Nations, Department of Economic and Social Affairs (advanced Excel tables), (2) Census reports and other statistical publications from national statistical offices, (3) Eurostat: Demographic Statistics, (4) Secretariat of the Pacific Community: Statistics and Demography Programme, and (5) U.S. Census Bureau: International Database.</t>
  </si>
  <si>
    <t>SP.DYN.LE00.IN</t>
  </si>
  <si>
    <t>Derived from male and female life expectancy at birth. Male and female life expectancy source: (1) United Nations Population Division. 2009. World Population Prospects: The 2008 Revision. New York, United Nations, Department of Economic and Social Affairs (advanced Excel tables), (2) Census reports and other statistical publications from national statistical offices, (3) Eurostat: Demographic Statistics, (4) Secretariat of the Pacific Community: Statistics and Demography Programme, and (5) U.S. Census Bureau: International Database.</t>
  </si>
  <si>
    <t>Derived from male and female life expectancy at birth from sources such as: (1) United Nations Population Division. World Population Prospects, (2) United Nations Statistical Division. Population and Vital Statistics Reprot (various years), (3) Census reports and other statistical publications from national statistical offices, (4) Eurostat: Demographic Statistics, (5) Secretariat of the Pacific Community: Statistics and Demography Programme, and (6) U.S. Census Bureau: International Database.</t>
  </si>
  <si>
    <t>SP.DYN.LE00.MA.IN</t>
  </si>
  <si>
    <t>SP.DYN.TFRT.IN</t>
  </si>
  <si>
    <t>(1) United Nations Population Division. 2009. World Population Prospects: The 2008 Revision. New York, United Nations, Department of Economic and Social Affairs (advanced Excel tables). Available at http://esa.un.org/unpd/wpp2008/index.htm. (2) Census reports and other statistical publications from national statistical offices, (3) Eurostat: Demographic Statistics, (4) Secretariat of the Pacific Community: Statistics and Demography Programme, (5) U.S. Census Bureau: International Database, and (6) household surveys conducted by national agencies, Macro International, and the U.S. Centers for Disease Control and Prevention.</t>
  </si>
  <si>
    <t>SP.DYN.TO65.FE.ZS</t>
  </si>
  <si>
    <t>United Nations Population Division. 2009. World Population Prospects: The 2008 Revision. New York, United Nations, Department of Economic and Social Affairs (advanced Excel tables). Available at http://esa.un.org/unpd/wpp2008/index.htm.</t>
  </si>
  <si>
    <t>United Nations Population Division. World Population Prospects. New York, United Nations, Department of Economic and Social Affairs (advanced Excel tables). Available at http://esa.un.org/wpp/unpp/panel_population.htm.</t>
  </si>
  <si>
    <t>SP.DYN.TO65.MA.ZS</t>
  </si>
  <si>
    <t>SP.POP.0014.TO.ZS</t>
  </si>
  <si>
    <t>The United Nations Population Division's World Population Prospects.</t>
  </si>
  <si>
    <t>SP.POP.GROW</t>
  </si>
  <si>
    <t>Derived from total population. Population source: (1) United Nations Population Division. 2009. World Population Prospects: The 2008 Revision. New York, United Nations, Department of Economic and Social Affairs (advanced Excel tables). Available at http://esa.un.org/unpd/wpp2008/index.htm. (2) Census reports and other statistical publications from national statistical offices, (3) Eurostat: Demographic Statistics, (4) Secretariat of the Pacific Community: Statistics and Demography Programme, (5) U.S. Census Bureau: International Database, and (6) World bank estimates based on the data from the sources above, household surveys conducted by national agencies, Macro International, the U.S. Centers for Disease Control and Prevention, and refugees statistics from the United Nations High Commissioner for Refugees.</t>
  </si>
  <si>
    <t>Derived from total population. Population source: (1) United Nations Population Division. World Population Prospects, (2) United Nations Statistical Division. Population and Vital Statistics Reprot (various years), (3) Census reports and other statistical publications from national statistical offices, (4) Eurostat: Demographic Statistics, (5) Secretariat of the Pacific Community: Statistics and Demography Programme, and (6) U.S. Census Bureau: International Database.</t>
  </si>
  <si>
    <t>SP.POP.TOTL</t>
  </si>
  <si>
    <t>(1) United Nations Population Division. 2009. World Population Prospects: The 2008 Revision. New York, United Nations, Department of Economic and Social Affairs (advanced Excel tables). Available at http://esa.un.org/unpd/wpp2008/index.htm. (2) Census reports and other statistical publications from national statistical offices, (3) Eurostat: Demographic Statistics, (4) Secretariat of the Pacific Community: Statistics and Demography Programme, (5) U.S. Census Bureau: International Database, and (6) World bank estimates based on the data from the sources above, household surveys conducted by national agencies, Macro International, the U.S. Centers for Disease Control and Prevention, and refugees statistics from the United Nations High Commissioner for Refugees.</t>
  </si>
  <si>
    <t>TM.VAL.ICTG.ZS.UN</t>
  </si>
  <si>
    <t>United Nations Statistics Division's Commodity Trade (Comtrade) database.</t>
  </si>
  <si>
    <t>United Nations Conference on Trade and Development's UNCTADstat database at http://unctadstat.unctad.org/ReportFolders/reportFolders.aspx.</t>
  </si>
  <si>
    <t>TX.VAL.ICTG.ZS.UN</t>
  </si>
  <si>
    <t>Change in topic (5)</t>
  </si>
  <si>
    <t>VC.BTL.DETH</t>
  </si>
  <si>
    <t>Poverty: Conflict &amp; fragility</t>
  </si>
  <si>
    <t>VC.IDP.TOTL.HE</t>
  </si>
  <si>
    <t>VC.IDP.TOTL.LE</t>
  </si>
  <si>
    <t>VC.PKP.TOTL.UN</t>
  </si>
  <si>
    <t>Additions (125)</t>
  </si>
  <si>
    <t>AG.PRD.CREL.MT</t>
  </si>
  <si>
    <t>Cereal production (metric tons)</t>
  </si>
  <si>
    <t>Production data on cereals relate to crops harvested for dry grain only. Cereal crops harvested for hay or harvested green for food, feed, or silage and those used for grazing are excluded.</t>
  </si>
  <si>
    <t>Food and Agriculture Organization, electronic files and web site.</t>
  </si>
  <si>
    <t>Environment: Agricultural production</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</si>
  <si>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 (UNDP), United Nations Population Fund (UNPF), United Nations Refugee Agency (UNHCR), Joint United Nations Programme on HIV/AIDS (UNAIDS), and United Nations Regular Programme for Technical Assistance (UNTA). Data are in current U.S. dollars.</t>
  </si>
  <si>
    <t>EG.ELC.FOSL.ZS</t>
  </si>
  <si>
    <t>Electricity production from oil, gas and coal sources (% of total)</t>
  </si>
  <si>
    <t>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</si>
  <si>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International Energy Agency (IEA Statistics © OECD/IEA, http://www.iea.org/stats/index.asp), Energy Statistics and Balances of Non-OECD Countries, Energy Statistics of OECD Countries, and Energy Balances of OECD Countries.</t>
  </si>
  <si>
    <t>Environment: Energy production &amp; use</t>
  </si>
  <si>
    <t>EN.ATM.CO2E.SF.ZS</t>
  </si>
  <si>
    <t>CO2 emissions from solid fuel consumption (% of total)</t>
  </si>
  <si>
    <t>Carbon dioxide emissions from solid fuel consumption refer mainly to emissions from use of coal as an energy source.</t>
  </si>
  <si>
    <t>Carbon Dioxide Information Analysis Center, Environmental Sciences Division, Oak Ridge National Laboratory, Tennessee, United States.</t>
  </si>
  <si>
    <t>EN.ATM.HFCG.KT.CE</t>
  </si>
  <si>
    <t>HFC gas emissions (thousand metric tons of CO2 equivalent)</t>
  </si>
  <si>
    <t>Hydrofluorocarbons, used as a replacement for chlorofluorocarbons, are used mainly in refrigeration and semiconductor manufacturing.</t>
  </si>
  <si>
    <t>International Energy Agency (IEA Statistics © OECD/IEA, http://www.iea.org/stats/index.asp).</t>
  </si>
  <si>
    <t>EN.ATM.METH.AG.KT.CE</t>
  </si>
  <si>
    <t>Agricultural methane emissions (thousand metric tons of CO2 equivalent)</t>
  </si>
  <si>
    <t>Agricultural methane emissions are emissions from animals, animal waste, rice production, agricultural waste burning (nonenergy, on-site), and savannah burning.</t>
  </si>
  <si>
    <t>EN.ATM.METH.EG.KT.CE</t>
  </si>
  <si>
    <t>Methane emissions in energy sector (thousand metric tons of CO2 equivalent)</t>
  </si>
  <si>
    <t>Methane emissions from energy processes are emissions from the production, handling, transmission, and combustion of fossil fuels and biofuels.</t>
  </si>
  <si>
    <t>EN.ATM.METH.EG.ZS</t>
  </si>
  <si>
    <t>Energy related methane emissions (% of total)</t>
  </si>
  <si>
    <t>EN.ATM.NOXE.AG.KT.CE</t>
  </si>
  <si>
    <t>Agricultural nitrous oxide emissions (thousand metric tons of CO2 equivalent)</t>
  </si>
  <si>
    <t>Agricultural nitrous oxide emissions are emissions produced through fertilizer use (synthetic and animal manure), animal waste management, agricultural waste burning (nonenergy, on-site), and savannah burning.</t>
  </si>
  <si>
    <t>EN.ATM.NOXE.EG.KT.CE</t>
  </si>
  <si>
    <t>Nitrous oxide emissions in energy sector (thousand metric tons of CO2 equivalent)</t>
  </si>
  <si>
    <t>Nitrous oxide emissions from energy processes are emissions produced by the combustion of fossil fuels and biofuels.</t>
  </si>
  <si>
    <t>EN.ATM.NOXE.EI.ZS</t>
  </si>
  <si>
    <t>Nitrous oxide emissions in industrial and energy processes (% of total nitrous oxide emissions)</t>
  </si>
  <si>
    <t>Industrial nitrous oxide emissions are emissions produced during the manufacturing of adipic acid and nitric acid. Nitrous oxide emissions from energy processes are emissions produced by the combustion of fossil fuels and biofuels.</t>
  </si>
  <si>
    <t>EN.ATM.NOXE.IN.KT.CE</t>
  </si>
  <si>
    <t>Industrial nitrous oxide emissions (thousand metric tons of CO2 equivalent)</t>
  </si>
  <si>
    <t>Industrial nitrous oxide emissions are emissions produced during the manufacturing of adipic acid and nitric acid.</t>
  </si>
  <si>
    <t>EN.ATM.PFCG.KT.CE</t>
  </si>
  <si>
    <t>PFC gas emissions (thousand metric tons of CO2 equivalent)</t>
  </si>
  <si>
    <t>Perfluorocarbons, used as a replacement for chlorofluorocarbons in manufacturing semiconductors, are a byproduct of aluminum smelting and uranium enrichment.</t>
  </si>
  <si>
    <t>EN.ATM.SF6G.KT.CE</t>
  </si>
  <si>
    <t>SF6 gas emissions (thousand metric tons of CO2 equivalent)</t>
  </si>
  <si>
    <t>Sulfur hexafluoride is used largely to insulate high-voltage electric power equipment.</t>
  </si>
  <si>
    <t>ER.GDP.FWTL.M3.KD</t>
  </si>
  <si>
    <t>Water productivity, total (constant 2000 US$ GDP per cubic meter of total freshwater withdrawal)</t>
  </si>
  <si>
    <t>Water productivity is calculated as GDP in constant prices divided by annual total water withdrawal.</t>
  </si>
  <si>
    <t>Food and Agriculture Organization, AQUASTAT data, and World Bank and OECD GDP estimates.</t>
  </si>
  <si>
    <t>Environment: Freshwater</t>
  </si>
  <si>
    <t>Loan accounts at commercial banks include loans from banks to individuals, businesses, and others, including home mortgages, consumer loans, business loans, trade loans, student loans, emergency loans, agricultural loans, and the like. Commercial banks are banks with a full banking license. In some countries, the term "universal banks" or other terms may be used. Majority government- and state-owned banks are included in this category to the extent that they perform a broad set of retail banking functions and are regulated and supervised in the same manner as privately owned banks.</t>
  </si>
  <si>
    <t>Cooperatives, credit unions, and mutuals are financial institutions that are owned and controlled by their members (customers), regardless of whether they do business exclusively with their members or with members and nonmembers.</t>
  </si>
  <si>
    <t>Microfinance institutions are institutions whose primary business model is to lend to (and possibly take deposits from) the poor, often using specialized methodologies such as group lending. The data collected using this institutional classification necessarily understate the scale of microfinance because many banks, cooperatives, and specialized state-owned institutions provide microfinance services as part of their activities.</t>
  </si>
  <si>
    <t>Specialized state-owned financial institutions are extensions of the government whose main purpose is to lend support to economic development and/or to provide savings, payment, and deposit services to the public. They include postal banks, government savings banks, SME lending facilities, agriculture banks, and development banks.</t>
  </si>
  <si>
    <t>Automated teller machines (ATMs) (per 100,000 adults)</t>
  </si>
  <si>
    <t>Automated teller machines are computerized telecommunications devices that provide clients of a financial institution with access to financial transactions in a public place.</t>
  </si>
  <si>
    <t>Commercial bank branches are retail locations offering a wide array of face-to-face and automated financial services. Commercial banks are banks with a full banking license. In some countries, the term "universal banks" or other terms may be used. Majority government- and state-owned banks are included in this category to the extent that they perform a broad set of retail banking functions and are regulated and supervised in the same manner as privately owned banks.</t>
  </si>
  <si>
    <t>Deposit accounts are accounts at commercial banks that allow money to be deposited and withdrawn by the account holder. The major types of deposits are checking accounts, savings accounts, and time deposits. Commercial banks are banks with a full banking license. In some countries, the term "universal banks" or other terms may be used. Majority government- and state-owned banks are included in this category to the extent that they perform a broad set of retail banking functions and are regulated and supervised in the same manner as privately owned banks.</t>
  </si>
  <si>
    <t>FB.POS.TOTL.P5</t>
  </si>
  <si>
    <t>Point-of-sale terminals (per 100,000 adults)</t>
  </si>
  <si>
    <t>Point-of-sale terminals are the equipment used to manage the selling process by a salesperson-accessible interface in the location where a transaction takes place.</t>
  </si>
  <si>
    <t>FM.AST.CGOV.ZG.M3</t>
  </si>
  <si>
    <t>Claims on central government (annual growth as % of broad money)</t>
  </si>
  <si>
    <t>Claims on central government (IFS line 32AN..ZK) include loans to central government institutions net of deposits.</t>
  </si>
  <si>
    <t>International Monetary Fund, International Financial Statistics and data files.</t>
  </si>
  <si>
    <t>Financial Sector: Assets</t>
  </si>
  <si>
    <t>FM.AST.DOMO.ZG.M3</t>
  </si>
  <si>
    <t>Claims on other sectors of the domestic economy (annual growth as % of broad money)</t>
  </si>
  <si>
    <t>Claims on other sectors of the domestic economy (IFS line 32S..ZK) include gross credit from the financial system to households, nonprofit institutions serving households, nonfinancial corporations, state and local governments, and social security funds.</t>
  </si>
  <si>
    <t>FM.AST.PRVT.ZG.M3</t>
  </si>
  <si>
    <t>Claims on private sector (annual growth as % of broad money)</t>
  </si>
  <si>
    <t>Claims on private sector (IFS line 32D..ZK or 32D..ZF) include gross credit from the financial system to individuals, enterprises, nonfinancial public entities not included under net domestic credit, and financial institutions not included elsewhere.</t>
  </si>
  <si>
    <t>FM.LBL.BMNY.CN</t>
  </si>
  <si>
    <t>Broad money (current LCU)</t>
  </si>
  <si>
    <t>Broad money (IFS line 35L..ZK) is the sum of currency outside banks; demand deposits other than those of the central government; the time, savings, and foreign currency deposits of resident sectors other than the central government; bank and traveler’s checks; and other securities such as certificates of deposit and commercial paper.</t>
  </si>
  <si>
    <t>Financial Sector: Monetary holdings (liabilities)</t>
  </si>
  <si>
    <t>FM.LBL.BMNY.GD.ZS</t>
  </si>
  <si>
    <t>Broad money (% of GDP)</t>
  </si>
  <si>
    <t>International Monetary Fund, International Financial Statistics and data files, and World Bank and OECD GDP estimates.</t>
  </si>
  <si>
    <t>FM.LBL.BMNY.IR.ZS</t>
  </si>
  <si>
    <t>Broad money to total reserves ratio</t>
  </si>
  <si>
    <t>FM.LBL.BMNY.ZG</t>
  </si>
  <si>
    <t>Broad money growth (annual %)</t>
  </si>
  <si>
    <t>FS.AST.CGOV.GD.ZS</t>
  </si>
  <si>
    <t>Claims on central government, etc. (% GDP)</t>
  </si>
  <si>
    <t>Claims on central government (IFS line 52AN or 32AN) include loans to central government institutions net of deposits.</t>
  </si>
  <si>
    <t>FS.AST.DOMO.GD.ZS</t>
  </si>
  <si>
    <t>Claims on other sectors of the domestic economy (% of GDP)</t>
  </si>
  <si>
    <t>Claims on other sectors of the domestic economy (IFS line 52S or 32S) include gross credit from the financial system to households, nonprofit institutions serving households, nonfinancial corporations, state and local governments, and social security funds.</t>
  </si>
  <si>
    <t>IC.BUS.NDNS.ZS</t>
  </si>
  <si>
    <t>New business density (new registrations per 1,000 people ages 15-64)</t>
  </si>
  <si>
    <t>New businesses registered are the number of new limited liability corporations registered in the calendar year.</t>
  </si>
  <si>
    <t>World Bank's Entrepreneurship Survey and database (http://econ.worldbank.org/research/entrepreneurship).</t>
  </si>
  <si>
    <t>IC.ELC.DURS</t>
  </si>
  <si>
    <t>Delay in obtaining an electrical connection (days)</t>
  </si>
  <si>
    <t>Delay in obtaining an electrical connection is the average wait, in days, experienced to obtain an electrical connection from the day an establishment applies for it to the day it receives the service.</t>
  </si>
  <si>
    <t>IC.ELC.OUTG</t>
  </si>
  <si>
    <t>Power outages in firms in a typical month (number)</t>
  </si>
  <si>
    <t>Power outages are the average number of power outages that establishments experience in a typical month.</t>
  </si>
  <si>
    <t>Firing cost is the cost of advanced notice requirements, severance payments, and penalties due when terminating a redundant worker, expressed in weekly wages. One month is recorded as 4 1/3 weeks.</t>
  </si>
  <si>
    <t>IC.FRM.INFM.ZS</t>
  </si>
  <si>
    <t>Firms that do not report all sales for tax purposes (% of firms)</t>
  </si>
  <si>
    <t>Firms that do not report all sales for tax purposes are the percentage of firms that expressed that a typical firm reports less than 100 percent of sales for tax purposes; such firms are termed "informal firms."</t>
  </si>
  <si>
    <t>IC.TAX.GIFT.ZS</t>
  </si>
  <si>
    <t>Firms expected to give gifts in meetings with tax officials (% of firms)</t>
  </si>
  <si>
    <t>Firms expected to give gifts in meetings with tax officials is the percentage of firms that answered positively to the question "was a gift or informal payment expected or requested during a meeting with tax officials?"</t>
  </si>
  <si>
    <t>IC.TAX.LABR.CP.ZS</t>
  </si>
  <si>
    <t>Labor tax and contributions (% of commercial profits)</t>
  </si>
  <si>
    <t>Labor tax and contributions is the amount of taxes and mandatory contributions on labor paid by the business.</t>
  </si>
  <si>
    <t>IC.TAX.OTHR.CP.ZS</t>
  </si>
  <si>
    <t>Other taxes payable by businesses (% of commercial profits)</t>
  </si>
  <si>
    <t>Other taxes payable by businesses include the amounts paid for property taxes, turnover taxes, and other small taxes such as municipal fees and vehicle and fuel taxes.</t>
  </si>
  <si>
    <t>IC.TAX.PRFT.CP.ZS</t>
  </si>
  <si>
    <t>Profit tax (% of commercial profits)</t>
  </si>
  <si>
    <t>Profit tax is the amount of taxes on profits paid by the business.</t>
  </si>
  <si>
    <t>NE.DAB.DEFL.ZS</t>
  </si>
  <si>
    <t>Gross national expenditure deflator (base year varies by country)</t>
  </si>
  <si>
    <t>Gross national expenditure (formerly domestic absorption) is the sum of household final consumption expenditure (formerly private consumption), general government final consumption expenditure (formerly general government consumption), and gross capital formation (formerly gross domestic investment).</t>
  </si>
  <si>
    <t>Economic Policy &amp; Debt: National accounts: Shares of GDP &amp; other</t>
  </si>
  <si>
    <t>NE.GDI.FPRV.CN</t>
  </si>
  <si>
    <t>Gross fixed capital formation, private sector (current LCU)</t>
  </si>
  <si>
    <t>Private investment covers gross outlays by the private sector (including private nonprofit agencies) on additions to its fixed domestic assets.</t>
  </si>
  <si>
    <t>Economic Policy &amp; Debt: National accounts: Local currency at current prices: Expenditure on GDP</t>
  </si>
  <si>
    <t>NE.GDI.FPRV.ZS</t>
  </si>
  <si>
    <t>Gross fixed capital formation, private sector (% of GDP)</t>
  </si>
  <si>
    <t>NY.ADJ.DRES.GN.ZS</t>
  </si>
  <si>
    <t>Adjusted savings: natural resources depletion (% of GNI)</t>
  </si>
  <si>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t>
  </si>
  <si>
    <t>World Bank staff estimates.</t>
  </si>
  <si>
    <t>Economic Policy &amp; Debt: National accounts: Adjusted savings &amp; income</t>
  </si>
  <si>
    <t>NY.ADJ.NNTY.CD</t>
  </si>
  <si>
    <t>Adjusted net national income (current US$)</t>
  </si>
  <si>
    <t>Adjusted net national income is GNI minus consumption of fixed capital and natural resources depletion.</t>
  </si>
  <si>
    <t>NY.ADJ.NNTY.KD</t>
  </si>
  <si>
    <t>Adjusted net national income (constant 2000 US$)</t>
  </si>
  <si>
    <t>NY.ADJ.NNTY.KD.ZG</t>
  </si>
  <si>
    <t>Adjusted net national income (annual % growth)</t>
  </si>
  <si>
    <t>NY.GDP.COAL.RT.ZS</t>
  </si>
  <si>
    <t>Coal rents (% of GDP)</t>
  </si>
  <si>
    <t>Coal rents are the difference between the value of both hard and soft coal production at world prices and their total costs of production.</t>
  </si>
  <si>
    <t>Estimates based on sources and methods described in "The Changing Wealth of Nations: Measuring Sustainable Development in the New Millennium" (World Bank, 2011).</t>
  </si>
  <si>
    <t>Environment: Natural resources contribution to GDP</t>
  </si>
  <si>
    <t>NY.GDP.FRST.RT.ZS</t>
  </si>
  <si>
    <t>Forest rents (% of GDP)</t>
  </si>
  <si>
    <t>Forest rents are roundwood harvest times the product of average prices and a region-specific rental rate.</t>
  </si>
  <si>
    <t>NY.GDP.MINR.RT.ZS</t>
  </si>
  <si>
    <t>Mineral rents (% of GDP)</t>
  </si>
  <si>
    <t>Mineral rents are the difference between the value of production for a stock of minerals at world prices and their total costs of production. Minerals included in the calculation are tin, gold, lead, zinc, iron, copper, nickel, silver, bauxite, and phosphate.</t>
  </si>
  <si>
    <t>NY.GDP.NGAS.RT.ZS</t>
  </si>
  <si>
    <t>Natural gas rents (% of GDP)</t>
  </si>
  <si>
    <t>Natural gas rents are the difference between the value of natural gas production at world prices and total costs of production.</t>
  </si>
  <si>
    <t>NY.GDP.PETR.RT.ZS</t>
  </si>
  <si>
    <t>Oil rents (% of GDP)</t>
  </si>
  <si>
    <t>Oil rents are the difference between the value of crude oil production at world prices and total costs of production.</t>
  </si>
  <si>
    <t>NY.GDP.TOTL.RT.ZS</t>
  </si>
  <si>
    <t>Total natural resources rents (% of GDP)</t>
  </si>
  <si>
    <t>Total natural resources rents are the sum of oil rents, natural gas rents, coal rents (hard and soft), mineral rents, and forest rents.</t>
  </si>
  <si>
    <t>NY.GNP.MKTP.KD</t>
  </si>
  <si>
    <t>GNI (constant 2000 US$)</t>
  </si>
  <si>
    <t>GNI (formerly GNP) is the sum of value added by all resident producers plus any product taxes (less subsidies) not included in the valuation of output plus net receipts of primary income (compensation of employees and property income) from abroad. Data are in constant 2000 U.S. dollars.</t>
  </si>
  <si>
    <t>Economic Policy &amp; Debt: National accounts: US$ at constant 2000 prices: Aggregate indicators</t>
  </si>
  <si>
    <t>NY.GNP.MKTP.KD.ZG</t>
  </si>
  <si>
    <t>GNI growth (annual %)</t>
  </si>
  <si>
    <t>GNI (formerly GNP) is the sum of value added by all resident producers plus any product taxes (less subsidies) not included in the valuation of output plus net receipts of primary income (compensation of employees and property income) from abroad.</t>
  </si>
  <si>
    <t xml:space="preserve">Economic Policy &amp; Debt: National accounts: Growth rates: </t>
  </si>
  <si>
    <t>NY.GNP.MKTP.KN</t>
  </si>
  <si>
    <t>GNI (constant LCU)</t>
  </si>
  <si>
    <t>GNI (formerly GNP) is the sum of value added by all resident producers plus any product taxes (less subsidies) not included in the valuation of output plus net receipts of primary income (compensation of employees and property income) from abroad. Data are in constant local currency.</t>
  </si>
  <si>
    <t>Economic Policy &amp; Debt: National accounts: Local currency at constant prices: Aggregate indicators</t>
  </si>
  <si>
    <t>NY.GNP.PCAP.KD</t>
  </si>
  <si>
    <t>GNI per capita (constant 2000 US$)</t>
  </si>
  <si>
    <t>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 Data are in constant 2000 U.S. dollars.</t>
  </si>
  <si>
    <t>NY.GNP.PCAP.KD.ZG</t>
  </si>
  <si>
    <t>GNI per capita growth (annual %)</t>
  </si>
  <si>
    <t>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t>
  </si>
  <si>
    <t>NY.GNP.PCAP.KN</t>
  </si>
  <si>
    <t>GNI per capita (constant LCU)</t>
  </si>
  <si>
    <t>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 Data are in constant local currency.</t>
  </si>
  <si>
    <t>Condom use, population ages 15-24, female (% of females ages 15-24)</t>
  </si>
  <si>
    <t>Condom use is the percentage of the population ages 15-24 who used a condom at last intercourse in the last 12 months.</t>
  </si>
  <si>
    <t>Condom use, population ages 15-24, male (% of males ages 15-24)</t>
  </si>
  <si>
    <t>Mortality rate, neonatal (per 1,000 live births)</t>
  </si>
  <si>
    <t>Neonatal mortality rate is the number of neonates dying before reaching 28 days of age, per 1,000 live births in a given year.</t>
  </si>
  <si>
    <t>SH.HIV.0014</t>
  </si>
  <si>
    <t>Children (0-14) living with HIV</t>
  </si>
  <si>
    <t>Children living with HIV refers to the number of children ages 0-14 who are infected with HIV.</t>
  </si>
  <si>
    <t>SH.MMR.RISK.ZS</t>
  </si>
  <si>
    <t>Lifetime risk of maternal death (%)</t>
  </si>
  <si>
    <t xml:space="preserve">Life time risk of maternal death is the probability that a 15-year-old female will die eventually from a maternal cause assuming that current levels of fertility and mortality (including maternal mortality) do not change in the future, taking into account competing causes of death. </t>
  </si>
  <si>
    <t>"Maternal Mortality: Estimates Developed by WHO, UNICEF, UNFPA and the World Bank"</t>
  </si>
  <si>
    <t>Maternal mortality ratio (national estimate, per 100,000 live births)</t>
  </si>
  <si>
    <t>Maternal mortality ratio is the number of women who die during pregnancy and childbirth, per 100,000 live births.</t>
  </si>
  <si>
    <t>SH.VAC.TTNS.ZS</t>
  </si>
  <si>
    <t>Newborns protected against tetanus (%)</t>
  </si>
  <si>
    <t>Newborns protected against tetanus are the percentage of births by women of child-bearing age who are immunized against tetanus.</t>
  </si>
  <si>
    <t>UNICEF, State of the World's Children, Childinfo.</t>
  </si>
  <si>
    <t>Out-of-pocket health expenditure (% of total expenditure on health)</t>
  </si>
  <si>
    <t>Out of pocket expenditure is any direct outlay by households, including gratuities and in-kind payments, to health practitioners and suppliers of pharmaceuticals, therapeutic appliances, and other goods and services whose primary intent is to contribute to the restoration or enhancement of the health status of individuals or population groups. It is a part of private health expenditure.</t>
  </si>
  <si>
    <t>Health: Health services</t>
  </si>
  <si>
    <t>SL.EMP.MPYR.FE.ZS</t>
  </si>
  <si>
    <t>Employers, female (% of employment)</t>
  </si>
  <si>
    <t>Employers refers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</si>
  <si>
    <t>SL.EMP.MPYR.MA.ZS</t>
  </si>
  <si>
    <t>Employers, male (% of employment)</t>
  </si>
  <si>
    <t>SL.EMP.MPYR.ZS</t>
  </si>
  <si>
    <t>Employers, total (% of employment)</t>
  </si>
  <si>
    <t>Self-employed, female (% of females employed)</t>
  </si>
  <si>
    <t>Self-employed, male (% of males employed)</t>
  </si>
  <si>
    <t>Self-employed, total (% of total employed)</t>
  </si>
  <si>
    <t>SL.EMP.WORK.FE.ZS</t>
  </si>
  <si>
    <t>Wage and salaried workers, female (% of females employed)</t>
  </si>
  <si>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</si>
  <si>
    <t>SL.EMP.WORK.MA.ZS</t>
  </si>
  <si>
    <t>Wage and salary workers, male (% of males employed)</t>
  </si>
  <si>
    <t>SL.EMP.WORK.ZS</t>
  </si>
  <si>
    <t>Wage and salaried workers, total (% of total employed)</t>
  </si>
  <si>
    <t>SL.FAM.WORK.FE.ZS</t>
  </si>
  <si>
    <t>Contributing family workers, female (% of females employed)</t>
  </si>
  <si>
    <t>Contributing family workers are those workers who hold "self-employment jobs" as own-account workers in a market-oriented establishment operated by a related person living in the same household.</t>
  </si>
  <si>
    <t>SL.FAM.WORK.MA.ZS</t>
  </si>
  <si>
    <t>Contributing family workers, male (% of males employed)</t>
  </si>
  <si>
    <t>SL.FAM.WORK.ZS</t>
  </si>
  <si>
    <t>Contributing family workers, total (% of total employed)</t>
  </si>
  <si>
    <t>Wage equality between women and men in manufacturing refers to female to male wages and salaries in manufacturing.</t>
  </si>
  <si>
    <t>International Labour Organization, Key Indicators of the Labour market (KILM).</t>
  </si>
  <si>
    <t>SL.TLF.PART.FE.ZS</t>
  </si>
  <si>
    <t>Part time employment, female (% of total female employment)</t>
  </si>
  <si>
    <t>Part time employment refers to regular employment in which working time is substantially less than normal. Definitions of part time employment differ by country.</t>
  </si>
  <si>
    <t>SL.TLF.PART.MA.ZS</t>
  </si>
  <si>
    <t>Part time employment, male (% of total male employment)</t>
  </si>
  <si>
    <t>SL.TLF.PART.TL.FE.ZS</t>
  </si>
  <si>
    <t>Part time employment, female (% of total part time employment)</t>
  </si>
  <si>
    <t>SL.TLF.PART.ZS</t>
  </si>
  <si>
    <t>Part time employment, total (% of total employment)</t>
  </si>
  <si>
    <t>Female headed households (% of households with a female head)</t>
  </si>
  <si>
    <t>Female headed households shows the percentage of households with a female head.</t>
  </si>
  <si>
    <t>Health: Population: Dynamics</t>
  </si>
  <si>
    <t>TM.VAL.MRCH.AL.ZS</t>
  </si>
  <si>
    <t>Merchandise imports from economies in the Arab World (% of total merchandise imports)</t>
  </si>
  <si>
    <t>Merchandise imports from economies in the Arab World are the sum of merchandise imports by the reporting economy from economies in the Arab World. Data are expressed as a percentage of total merchandise imports by the economy. Data are computed only if at least half of the economies in the partner country group had non-missing data.</t>
  </si>
  <si>
    <t>World Bank staff estimates based data from International Monetary Fund's Direction of Trade database.</t>
  </si>
  <si>
    <t>Private Sector &amp; Trade: Exports</t>
  </si>
  <si>
    <t>TX.VAL.MRCH.AL.ZS</t>
  </si>
  <si>
    <t>Merchandise exports to economies in the Arab World (% of total merchandise exports)</t>
  </si>
  <si>
    <t>Merchandise exports to economies in the Arab World are the sum of merchandise exports by the reporting economy to economies in the Arab World. Data are expressed as a percentage of total merchandise exports by the economy. Data are computed only if at least half of the economies in the partner country group had non-missing data.</t>
  </si>
  <si>
    <t>Internally displaced persons (number, high estimate)</t>
  </si>
  <si>
    <t>Internally displaced persons are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t>
  </si>
  <si>
    <t>Internal Displacement Monitoring Centre.</t>
  </si>
  <si>
    <t>Internally displaced persons (number, low estimate)</t>
  </si>
  <si>
    <t>Center for International Earth Science Information Network (CIESIN), Place II dataset.</t>
  </si>
  <si>
    <t>Environment: Land use</t>
  </si>
  <si>
    <t>EG.ELC.ACCS.ZS</t>
  </si>
  <si>
    <t>Access to electricity (% of population)</t>
  </si>
  <si>
    <t>Access to electricity is the percentage of population with access to electricity. Electrification data are collected from industry, national surveys and international sources.</t>
  </si>
  <si>
    <t>International Energy Agency, World Energy Outlook 2010.</t>
  </si>
  <si>
    <t>EG.ELC.RNEW.KH</t>
  </si>
  <si>
    <t>Electricity production from renewable sources (kWh)</t>
  </si>
  <si>
    <t>Electricity production from renewable sources includes hydropower, geothermal, solar, tides, wind, biomass, and biofuels.</t>
  </si>
  <si>
    <t>IEA Statistics © OECD/IEA, http://www.iea.org/stats/index.asp), Energy Statistics and Balances of Non-OECD Countries, Energy Statistics of OECD Countries, and Energy Balances of OECD Countries</t>
  </si>
  <si>
    <t>EG.ELC.RNWX.KH</t>
  </si>
  <si>
    <t>Electricity production from renewable sources, excluding hydroelectric (kWh)</t>
  </si>
  <si>
    <t xml:space="preserve">Electricity production from renewable sources, excluding hydroelectric, includes geothermal, solar, tides, wind, biomass, and biofuels.
</t>
  </si>
  <si>
    <t>EG.ELC.RNWX.ZS</t>
  </si>
  <si>
    <t>Electricity production from renewable sources, excluding hydroelectric (% of total)</t>
  </si>
  <si>
    <t>EN.ATM.CO2E.GF.KT</t>
  </si>
  <si>
    <t xml:space="preserve">CO2 emissions from gaseous fuel consumption (kt) </t>
  </si>
  <si>
    <t>Carbon dioxide emissions from liquid fuel consumption refer mainly to emissions from use of natural gas as an energy source.</t>
  </si>
  <si>
    <t>EN.ATM.CO2E.GF.ZS</t>
  </si>
  <si>
    <t xml:space="preserve">CO2 emissions from gaseous fuel consumption (% of total) </t>
  </si>
  <si>
    <t>EN.ATM.CO2E.LF.KT</t>
  </si>
  <si>
    <t xml:space="preserve">CO2 emissions from liquid fuel consumption (kt) </t>
  </si>
  <si>
    <t>Carbon dioxide emissions from liquid fuel consumption refer mainly to emissions from use of petroleum-derived fuels as an energy source.</t>
  </si>
  <si>
    <t>EN.ATM.CO2E.LF.ZS</t>
  </si>
  <si>
    <t xml:space="preserve">CO2 emissions from liquid fuel consumption (% of total) </t>
  </si>
  <si>
    <t>EN.ATM.CO2E.SF.KT</t>
  </si>
  <si>
    <t xml:space="preserve">CO2 emissions from solid fuel consumption (kt) </t>
  </si>
  <si>
    <t>EN.CLC.DRSK.XQ</t>
  </si>
  <si>
    <t>Disaster risk reduction progress score (1-5 scale; 5=best)</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</si>
  <si>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</si>
  <si>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(UNISDR, 2009-2011 Progress Reports, http://www.preventionweb.net/english/hyogo).</t>
  </si>
  <si>
    <t>EN.CLC.GHGR.MT.CE</t>
  </si>
  <si>
    <t>GHG net emissions/removals by LUCF (Mt of CO2 equivalent)</t>
  </si>
  <si>
    <t>GHG net emissions/removals by LUCF refers to changes in atmospheric levels of all greenhouse gases attributable to forest and land-use change activities, including but not limited to (1) emissions and removals of CO2 from decreases or increases in biomass stocks due to forest management, logging, fuelwood collection, etc.; (2) conversion of existing forests and natural grasslands to other land uses; (3) removal of CO2 from the abandonment of formerly managed lands (e.g. croplands and pastures); and (4) emissions and removals of CO2 in soil associated with land-use change and management. For Annex-I countries under the UNFCCC, these data are drawn from the annual GHG inventories submitted to the UNFCCC by each country; for non-Annex-I countries, data are drawn from the most recently submitted National Communication where available.  Because of differences in reporting years and methodologies, these data are not generally considered comparable across countries. Data are in million metric tons.</t>
  </si>
  <si>
    <t>United Nations Framework Convention on Climate Change.</t>
  </si>
  <si>
    <t>EN.CLC.MDAT.ZS</t>
  </si>
  <si>
    <t>Droughts, floods, extreme temperatures (% of population, average 1990-2009)</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</si>
  <si>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</si>
  <si>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EM-DAT: The OFDA/CRED International Disaster Database: www.emdat.be, Université Catholique de Louvain, Brussels (Belgium), World Bank.</t>
  </si>
  <si>
    <t>EN.CO2.BLDG.MT</t>
  </si>
  <si>
    <t>CO2 emissions from residential buildings and commercial and public services (million metric tons)</t>
  </si>
  <si>
    <t>EN.CO2.ETOT.MT</t>
  </si>
  <si>
    <t>CO2 emissions from electricity and heat production, total (million metric tons)</t>
  </si>
  <si>
    <t>EN.CO2.MANF.MT</t>
  </si>
  <si>
    <t>CO2 emissions from manufacturing industries and construction (million metric tons)</t>
  </si>
  <si>
    <t>EN.CO2.OTHX.MT</t>
  </si>
  <si>
    <t>CO2 emissions from other sectors, excluding residential buildings and commercial and public services (million metric tons)</t>
  </si>
  <si>
    <t>EN.CO2.TRAN.MT</t>
  </si>
  <si>
    <t>CO2 emissions from transport (million metric tons)</t>
  </si>
  <si>
    <t>EN.POP.EL5M.ZS</t>
  </si>
  <si>
    <t>Population living in areas where elevation is below 5 meters (% of total population)</t>
  </si>
  <si>
    <t>Population below 5m is the percentage of the total population living in areas where the elevation is 5 meters or less.</t>
  </si>
  <si>
    <t>SH.MLR.INCD</t>
  </si>
  <si>
    <t>Notified cases of malaria (per 100,000 people)</t>
  </si>
  <si>
    <t>Malaria incidence is expressed as the number of new cases of malaria per 100,000 people each year. The number of cases reported is adjusted to take into account incompleteness in reporting systems, patients seeking treatment in the private sector, self-medicating or not seeking treatment at all, and potential over-diagnosis through the lack of laboratory confirmation of cases.</t>
  </si>
  <si>
    <t>World Health Organization.</t>
  </si>
  <si>
    <t>AG.CON.FERT.MT</t>
  </si>
  <si>
    <t>Fertilizer consumption (metric tons)</t>
  </si>
  <si>
    <t>Exports of goods, services, income and workers' remittances (BoP, current US$)</t>
  </si>
  <si>
    <t>EN.AGR.EMPL</t>
  </si>
  <si>
    <t>Economically active population in agriculture (number)</t>
  </si>
  <si>
    <t>EN.ATM.METH.IN.ZS</t>
  </si>
  <si>
    <t>Industrial methane emissions (% of total)</t>
  </si>
  <si>
    <t>EN.ATM.NOXE.IN.ZS</t>
  </si>
  <si>
    <t>Industrial nitrous oxide emissions (% of total)</t>
  </si>
  <si>
    <t>ER.LND.PTLD.TR.NO</t>
  </si>
  <si>
    <t>Terrestrial protected areas (number)</t>
  </si>
  <si>
    <t>ER.MRN.PTMR.NO</t>
  </si>
  <si>
    <t>Marine protected areas (number)</t>
  </si>
  <si>
    <t>FM.AST.GOVT.CN</t>
  </si>
  <si>
    <t>Claims on governments and other public entities (current LCU)</t>
  </si>
  <si>
    <t>FM.AST.GOVT.ZG.M2</t>
  </si>
  <si>
    <t>Claims on governments, etc. (annual growth as % of M2)</t>
  </si>
  <si>
    <t>FM.AST.PRVT.ZG.M2</t>
  </si>
  <si>
    <t>Claims on private sector (annual growth as % of M2)</t>
  </si>
  <si>
    <t>GB.TAX.CMAR.ZS</t>
  </si>
  <si>
    <t>Highest marginal tax rate, corporate rate (%)</t>
  </si>
  <si>
    <t>GB.TAX.IMAR.CD</t>
  </si>
  <si>
    <t>Highest marginal tax rate, individual (on income exceeding, US$)</t>
  </si>
  <si>
    <t>GB.TAX.IMAR.ZS</t>
  </si>
  <si>
    <t>Highest marginal tax rate, individual rate (%)</t>
  </si>
  <si>
    <t>IC.BUS.NREG.ZS</t>
  </si>
  <si>
    <t>Business entry rate (new registrations as % of total)</t>
  </si>
  <si>
    <t>IC.BUS.TOTL</t>
  </si>
  <si>
    <t>Total businesses registered (number)</t>
  </si>
  <si>
    <t>IC.LGL.EMPL.XQ</t>
  </si>
  <si>
    <t>Rigidity of employment index (0=less rigid to 100=more rigid)</t>
  </si>
  <si>
    <t>IE.ICT.PCAP.CD</t>
  </si>
  <si>
    <t>Information and communication technology expenditure per capita (current US$)</t>
  </si>
  <si>
    <t>IE.ICT.TOTL.CD</t>
  </si>
  <si>
    <t>Information and communication technology expenditure (current US$)</t>
  </si>
  <si>
    <t>IE.ICT.TOTL.GD.ZS</t>
  </si>
  <si>
    <t>Information and communication technology expenditure (% of GDP)</t>
  </si>
  <si>
    <t>VC.HOM.ITEN.P5.HE</t>
  </si>
  <si>
    <t>Intentional homicide rate (per 100,000 people, CTS and national sources)</t>
  </si>
  <si>
    <t>VC.HOM.ITEN.P5.LE</t>
  </si>
  <si>
    <t>Intentional homicide rate (per 100,000 people, WHO)</t>
  </si>
  <si>
    <t>VC.IDP.TOTL</t>
  </si>
  <si>
    <t>Internally displaced persons (number)</t>
  </si>
  <si>
    <t>Change in code (1)</t>
  </si>
  <si>
    <t>ER.LND.PTLD.TR.ZS</t>
  </si>
  <si>
    <t>Terrestrial protected areas (% of total surface area)</t>
  </si>
  <si>
    <t>Change in description (12)</t>
  </si>
  <si>
    <t>DC.DAC.CECL.CD</t>
  </si>
  <si>
    <t>Net bilateral aid flows from DAC donors, European Commission (current US$)</t>
  </si>
  <si>
    <t>Net bilateral aid flows from DAC donors, European Union institutions (current US$)</t>
  </si>
  <si>
    <t>Net official development assistance and official aid received (constant 2008 US$)</t>
  </si>
  <si>
    <t>Net official aid received (constant 2008 US$)</t>
  </si>
  <si>
    <t>Net official development assistance received (constant 2008 US$)</t>
  </si>
  <si>
    <t>EN.POP.DNST</t>
  </si>
  <si>
    <t>Population density (people per sq. km)</t>
  </si>
  <si>
    <t>Population density (people per sq. km of land area)</t>
  </si>
  <si>
    <t>Terrestrial protected areas (% of total land area)</t>
  </si>
  <si>
    <t>ER.MRN.PTMR.ZS</t>
  </si>
  <si>
    <t>Marine protected areas (% of total surface area)</t>
  </si>
  <si>
    <t>Marine protected areas (% of territorial waters)</t>
  </si>
  <si>
    <t>FB.AST.NPER.ZS</t>
  </si>
  <si>
    <t>Bank nonperfoming loans to total gross loans (%)</t>
  </si>
  <si>
    <t>Bank nonperforming loans to total gross loans (%)</t>
  </si>
  <si>
    <t>IC.EXP.DURS</t>
  </si>
  <si>
    <t>Lead time to export (days)</t>
  </si>
  <si>
    <t>Time to export (days)</t>
  </si>
  <si>
    <t>IC.IMP.DURS</t>
  </si>
  <si>
    <t>Lead time to import (days)</t>
  </si>
  <si>
    <t>Time to import (days)</t>
  </si>
  <si>
    <t>IC.TAX.TOTL.CP.ZS</t>
  </si>
  <si>
    <t>Total tax rate (% of profit)</t>
  </si>
  <si>
    <t>Total tax rate (% of commercial profits)</t>
  </si>
  <si>
    <t>SH.TBS.DTEC.ZS</t>
  </si>
  <si>
    <t>Tuberculosis case detection rate (all forms)</t>
  </si>
  <si>
    <t>Tuberculosis case detection rate (%, all forms)</t>
  </si>
  <si>
    <t>Change in definition (21)</t>
  </si>
  <si>
    <t>FS.LBL.LIQU.GD.ZS</t>
  </si>
  <si>
    <t>Liquid liabilities are also known as broad money, or M3. They are the sum of currency and deposits in the central bank (M0), plus transferable deposits and electronic currency (M1), plus time and savings deposits, foreign currency transferable deposits, certificates of deposit, and securities repurchase agreements (M2), plus travelers checks, foreign currency time deposits, commercial paper, and shares of mutual funds or market funds held by residents.</t>
  </si>
  <si>
    <t>Liquid liabilities are also known as M3. They are the sum of currency and deposits in the central bank (M0), plus transferable deposits and electronic currency (M1), plus time and savings deposits, foreign currency transferable deposits, certificates of deposit, and securities repurchase agreements (M2), plus travelers checks, foreign currency time deposits, commercial paper, and shares of mutual funds or market funds held by residents.</t>
  </si>
  <si>
    <t>Use of IMF credit denotes members' drawings on the IMF other than those drawn against the country's reserve tranche position. Use of IMF credit includes purchases and drawings under Stand-By, Extended, Structural Adjustment, Enhanced Structural Adjustment, and Systemic Transformation Facility Arrangements, together with Trust Fund loans. Data are in current U.S. dollars.</t>
  </si>
  <si>
    <t>DT.NFL.IFAD.CD</t>
  </si>
  <si>
    <t>Net financial flows received by the borrower during the year are disbursements of loans and credits less repayments of principal. IMF is the International Monetary Fund, which provides concessional lending through the Poverty Reduction and Growth Facility and the IMF Trust Fund. Data are in current U.S. dollars.</t>
  </si>
  <si>
    <t>Net financial flows received by the borrower during the year are disbursements of loans and credits less repayments of principal. IMF is the International Monetary Fund, which provides concessional lending through its Extended Credit Facility, Standby Credit Facility, and Rapid Credit Facility. Data are in current U.S. dollars.</t>
  </si>
  <si>
    <t>DT.NFL.UNAI.CD</t>
  </si>
  <si>
    <t>DT.NFL.UNCF.CD</t>
  </si>
  <si>
    <t>DT.NFL.UNCR.CD</t>
  </si>
  <si>
    <t>DT.NFL.UNDP.CD</t>
  </si>
  <si>
    <t>DT.NFL.UNFP.CD</t>
  </si>
  <si>
    <t>DT.NFL.UNRW.CD</t>
  </si>
  <si>
    <t>DT.NFL.UNTA.CD</t>
  </si>
  <si>
    <t>DT.NFL.WFPG.CD</t>
  </si>
  <si>
    <t>IC.BUS.NREG</t>
  </si>
  <si>
    <t>New businesses registered are the number of new firms, defined as firms registered in the current year of reporting.</t>
  </si>
  <si>
    <t>Total tax rate is the total amount of taxes payable by businesses (except for labor taxes) after accounting for deductions and exemptions as a percentage of profit.</t>
  </si>
  <si>
    <t>Total tax rate measures the amount of taxes and mandatory contributions payable by businesses after accounting for allowable deductions and exemptions as a share of commercial profits. Taxes withheld (such as personal income tax) or collected and remitted to tax authorities (such as value added taxes, sales taxes or goods and service taxes) are excluded.</t>
  </si>
  <si>
    <t>TM.QTY.MRCH.XD.WD</t>
  </si>
  <si>
    <t>Import volume indexes are derived from UNCTAD's volume index series and are the ratio of the import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 For economies for which UNCTAD does not publish data, the import volume indexes (lines 73) in the IMF's International Financial Statistics are used.</t>
  </si>
  <si>
    <t>Import volume indexes are derived from UNCTAD's volume index series and are the ratio of the import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and calculates unit value indexes at the country level using the current year’s trade values as weights. For economies for which UNCTAD does not publish data, the import volume indexes (lines 73) in the IMF's International Financial Statistics are used.</t>
  </si>
  <si>
    <t>TT.PRI.MRCH.XD.WD</t>
  </si>
  <si>
    <t>Net barter terms of trade index is calculated as the percentage ratio of the export unit value indexes to the import unit value indexes, measured relative to the base year 2000.</t>
  </si>
  <si>
    <t>Net barter terms of trade index is calculated as the percentage ratio of the export unit value indexes to the import unit value indexes, measured relative to the base year 2000. Unit value indexes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and calculates unit value indexes at the country level using the current year’s trade values as weights.</t>
  </si>
  <si>
    <t>TX.QTY.MRCH.XD.WD</t>
  </si>
  <si>
    <t>Export volume indexes are derived from UNCTAD's volume index series and are the ratio of the export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 For economies for which UNCTAD does not publish data, the export volume indexes (lines 72) in the IMF's International Financial Statistics are used.</t>
  </si>
  <si>
    <t>Export volume indexes are derived from UNCTAD's volume index series and are the ratio of the export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and calculates unit value indexes at the country level using the current year’s trade values as weights. For economies for which UNCTAD does not publish data, the export volume indexes (lines 72) in the IMF's International Financial Statistics are used.</t>
  </si>
  <si>
    <t>Change in source (62)</t>
  </si>
  <si>
    <t>CM.MKT.LCAP.CD</t>
  </si>
  <si>
    <t>Standard &amp; Poor's, Emerging Stock Markets Factbook and supplemental S&amp;P data.</t>
  </si>
  <si>
    <t>Standard &amp; Poor's, Global Stock Markets Factbook and supplemental S&amp;P data.</t>
  </si>
  <si>
    <t>CM.MKT.LCAP.GD.ZS</t>
  </si>
  <si>
    <t>Standard &amp; Poor's, Emerging Stock Markets Factbook and supplemental S&amp;P data, and World Bank and OECD GDP estimates.</t>
  </si>
  <si>
    <t>CM.MKT.LDOM.NO</t>
  </si>
  <si>
    <t>CM.MKT.TRAD.CD</t>
  </si>
  <si>
    <t>CM.MKT.TRAD.GD.ZS</t>
  </si>
  <si>
    <t>CM.MKT.TRNR</t>
  </si>
  <si>
    <t>EE.BOD.CGLS.ZS</t>
  </si>
  <si>
    <t>1998 study by Hemamala Hettige, Muthukumara Mani, and David Wheeler, "Industrial Pollution in Economic Development: Kuznets Revisited" (available at www.worldbank.org/nipr). The data were updated through 2005 by the World Bank's Development Research Group using the same methodology as the initial study.</t>
  </si>
  <si>
    <t>1998 study by Hemamala Hettige, Muthukumara Mani, and David Wheeler, "Industrial Pollution in Economic Development: Kuznets Revisited" (available at www.worldbank.org/nipr). The data were updated by the World Bank's Development Research Group using the same methodology as the initial study.</t>
  </si>
  <si>
    <t>EE.BOD.CHEM.ZS</t>
  </si>
  <si>
    <t>EE.BOD.FOOD.ZS</t>
  </si>
  <si>
    <t>EE.BOD.MTAL.ZS</t>
  </si>
  <si>
    <t>EE.BOD.OTHR.ZS</t>
  </si>
  <si>
    <t>EE.BOD.PAPR.ZS</t>
  </si>
  <si>
    <t>EE.BOD.TOTL.KG</t>
  </si>
  <si>
    <t>EE.BOD.TXTL.ZS</t>
  </si>
  <si>
    <t>EE.BOD.WOOD.ZS</t>
  </si>
  <si>
    <t>EN.ATM.METH.KT.CE</t>
  </si>
  <si>
    <t>World Resources Institute.</t>
  </si>
  <si>
    <t>EN.FSH.THRD.NO</t>
  </si>
  <si>
    <t>Froese, R. and Pauly, D. (eds). 2008. FishBase. World Wide Web electronic publication. www.fishbase.org. version (07/2008). Accessed: 28 September 2008.</t>
  </si>
  <si>
    <t>Froese, R. and Pauly, D. (eds). 2008. FishBase database, www.fishbase.org.</t>
  </si>
  <si>
    <t>International Finance Corporation's micro, small, and medium-size enterprises database (http://www.ifc.org/ifcext/sme.nsf/Content/Resources).</t>
  </si>
  <si>
    <t>IP.PAT.NRES</t>
  </si>
  <si>
    <t>World Intellectual Property Organization (WIPO), WIPO Patent Report: Statistics on Worldwide Patent Activity. The International Bureau of WIPO assumes no responsibility with respect to the transformation of these data.</t>
  </si>
  <si>
    <t>World Intellectual Property Organization (WIPO), World Intellectual Property Indicators and www.wipo.int/econ_stat. The International Bureau of WIPO assumes no responsibility with respect to the transformation of these data.</t>
  </si>
  <si>
    <t>IP.PAT.RESD</t>
  </si>
  <si>
    <t>IP.TMK.AGGD</t>
  </si>
  <si>
    <t>IP.TMK.MDRD</t>
  </si>
  <si>
    <t>IP.TMK.NRES</t>
  </si>
  <si>
    <t>IP.TMK.RESD</t>
  </si>
  <si>
    <t>IP.TMK.TOTL</t>
  </si>
  <si>
    <t>IS.RRS.GOOD.MT.K6</t>
  </si>
  <si>
    <t>World Bank, Transportation, Water, and Urban Development Department, Transport Division.</t>
  </si>
  <si>
    <t>World Bank, Transportation, Water, and Information and Communications Technologies Department, Transport Division.</t>
  </si>
  <si>
    <t>IS.RRS.PASG.KM</t>
  </si>
  <si>
    <t>IS.RRS.TOTL.KM</t>
  </si>
  <si>
    <t>IS.SHP.GCNW.XQ</t>
  </si>
  <si>
    <t>United Nations Conference on Trade and Development, Transport Newsletter, No. 43.</t>
  </si>
  <si>
    <t>United Nations Conference on Trade and Development, Review of Maritime Transport 2010.</t>
  </si>
  <si>
    <t>NY.ADJ.DFOR.CD</t>
  </si>
  <si>
    <t>World Bank staff estimates based on sources and methods in Arundhati Kunte and others' "Estimating National Wealth: Methodology and Results" (1998).</t>
  </si>
  <si>
    <t>World Bank staff estimates based on sources and methods in World Bank's "The Changing Wealth of Nations: Measuring Sustainable Development in the New Millennium" (2011).</t>
  </si>
  <si>
    <t>NY.ADJ.DFOR.GN.ZS</t>
  </si>
  <si>
    <t>NY.ADJ.DMIN.CD</t>
  </si>
  <si>
    <t>NY.ADJ.DMIN.GN.ZS</t>
  </si>
  <si>
    <t>NY.ADJ.DNGY.CD</t>
  </si>
  <si>
    <t>NY.ADJ.DNGY.GN.ZS</t>
  </si>
  <si>
    <t>SH.MED.NUMW.P3</t>
  </si>
  <si>
    <t>World Health Organization, Global Atlas of the Health Workforce. For latest updates and metadata, see http://apps.who.int/globalatlas/.</t>
  </si>
  <si>
    <t>SH.MED.PHYS.ZS</t>
  </si>
  <si>
    <t>Level &amp; Trends in Child Mortality. Report 2010. Estimates Developed by the UN Inter-agency Group for Child Mortality Estimation (UNICEF, WHO, World Bank, UN DESA, UNPD).</t>
  </si>
  <si>
    <t>World Bank, Development Research Group. Data are based on World Bank's country poverty assessments and country Poverty Reduction Strategies.</t>
  </si>
  <si>
    <t>SM.EMI.TERT.ZS</t>
  </si>
  <si>
    <t>Frédéric Docquier, Abdeslam Marfouk, and B. Lindsay Lowell's, "A Gendered Assessment of the Brain Drain" (2007).</t>
  </si>
  <si>
    <t>Frédéric Docquier, B. Lindsay Lowell, and Abdeslam Marfouk's , "A Gendered Assessment of Highly Skilled Emigration" (2009).</t>
  </si>
  <si>
    <t>(1) United Nations Population Division. 2009. World Population Prospects: The 2008 Revision.  New York, United Nations, Department of Economic and Social Affairs (advanced Excel tables).  Available at http://esa.un.org/unpd/wpp2008/index.htm, (2) University of California, Berkeley, and Max Planck Institute for Demographic Research. Human Mortality Database. [ www.mortality.org or  www.humanmortality.de] downloaded on Dec. 10, 2009.</t>
  </si>
  <si>
    <t>(1) United Nations Population Division. 2009. World Population Prospects: The 2008 Revision.  New York, United Nations, Department of Economic and Social Affairs (advanced Excel tables).  Available at http://esa.un.org/unpd/wpp2008/index.htm, (2) University of California, Berkeley, and Max Planck Institute for Demographic Research. Human Mortality Database. [ www.mortality.org or  www.humanmortality.de].</t>
  </si>
  <si>
    <t>(1) United Nations Population Division. 2009. World Population Prospects: The 2008 Revision.  New York, United Nations, Department of Economic and Social Affairs (advanced Excel tables), (2) Census reports and other statistical publications from national statistical offices, (3) Eurostat: Demographic Statistics, (4) Secretariat of the Pacific Community: Statistics and Demography Programme, and (5) U.S. Census Bureau: International Database.</t>
  </si>
  <si>
    <t>TM.TAX.MANF.SM.AR.ZS</t>
  </si>
  <si>
    <t>World Bank staff estimates using the World Integrated Trade Solution system, based on data from United Nations Conference on Trade and Development's Trade Analysis and Information System (TRAINS) database.</t>
  </si>
  <si>
    <t>World Bank staff estimates using the World Integrated Trade Solution system, based on data from United Nations Conference on Trade and Development's Trade Analysis and Information System (TRAINS) database and the World Trade Organization’s (WTO) Integrated Data Base (IDB) and Consolidated Tariff Schedules (CTS) database.</t>
  </si>
  <si>
    <t>TM.TAX.MANF.SM.FN.ZS</t>
  </si>
  <si>
    <t>TM.TAX.MANF.WM.AR.ZS</t>
  </si>
  <si>
    <t>World Bank staff estimates using the World Integrated Trade Solution system, based on tariff data from the United Nations Conference on Trade and Development's Trade and Development's Trade Analysis and Information System (TRAINS) database and global imports data from the United Nations Statistics Division's Comtrade database.</t>
  </si>
  <si>
    <t>TM.TAX.MANF.WM.FN.ZS</t>
  </si>
  <si>
    <t>TM.TAX.MRCH.SM.AR.ZS</t>
  </si>
  <si>
    <t>TM.TAX.MRCH.SM.FN.ZS</t>
  </si>
  <si>
    <t>TM.TAX.MRCH.WM.AR.ZS</t>
  </si>
  <si>
    <t>TM.TAX.MRCH.WM.FN.ZS</t>
  </si>
  <si>
    <t>TM.TAX.TCOM.SM.AR.ZS</t>
  </si>
  <si>
    <t>TM.TAX.TCOM.SM.FN.ZS</t>
  </si>
  <si>
    <t>TM.TAX.TCOM.WM.AR.ZS</t>
  </si>
  <si>
    <t>TM.TAX.TCOM.WM.FN.ZS</t>
  </si>
  <si>
    <t>Change in topic (24)</t>
  </si>
  <si>
    <t>NY.ADJ.AEDU.CD</t>
  </si>
  <si>
    <t>Environment: Adjusted savings</t>
  </si>
  <si>
    <t>NY.ADJ.AEDU.GN.ZS</t>
  </si>
  <si>
    <t>NY.ADJ.DCO2.CD</t>
  </si>
  <si>
    <t>NY.ADJ.DCO2.GN.ZS</t>
  </si>
  <si>
    <t>NY.ADJ.DKAP.CD</t>
  </si>
  <si>
    <t>NY.ADJ.DKAP.GN.ZS</t>
  </si>
  <si>
    <t>NY.ADJ.DPEM.CD</t>
  </si>
  <si>
    <t>NY.ADJ.DPEM.GN.ZS</t>
  </si>
  <si>
    <t>NY.ADJ.ICTR.GN.ZS</t>
  </si>
  <si>
    <t>NY.ADJ.NNAT.CD</t>
  </si>
  <si>
    <t>NY.ADJ.NNAT.GN.ZS</t>
  </si>
  <si>
    <t>NY.ADJ.SVNG.CD</t>
  </si>
  <si>
    <t>NY.ADJ.SVNG.GN.ZS</t>
  </si>
  <si>
    <t>NY.ADJ.SVNX.CD</t>
  </si>
  <si>
    <t>NY.ADJ.SVNX.GN.ZS</t>
  </si>
  <si>
    <t>SL.TLF.CACT.FE.ZS</t>
  </si>
  <si>
    <t>SL.TLF.CACT.MA.ZS</t>
  </si>
  <si>
    <t>SL.TLF.CACT.ZS</t>
  </si>
  <si>
    <t>Additions (25)</t>
  </si>
  <si>
    <t>17 April, 2013: Full update of development data to coincide with publication of the World Development Indicators 2013 book. Of note are new poverty data, including regional estimates for 2010. Balance of payments data are now based on the IMF's 6th edition of the Balance of Payments manual. New indicators include child malnutrition and under-five mortality series by gender, and additional series for children in employment. Note: The series metadata type "Conceptual implications and limitations" has been renamed "Limitations and exceptions."</t>
  </si>
  <si>
    <t>IC.FRM.CMPU.ZS</t>
  </si>
  <si>
    <t>Firms competing against unregistered firms (% of firms)</t>
  </si>
  <si>
    <t>IC.FRM.FEMM.ZS</t>
  </si>
  <si>
    <t>Firms with female top manager (%)</t>
  </si>
  <si>
    <t>Firms with female top manager refers to the percentage of firms in the private sector who have females as top managers. Top manager refers to the highest ranking manager or CEO of the establishment. This person may be the owner if he/she works as the manager of the firm. The results are based on surveys of more than 100,000 private firms.</t>
  </si>
  <si>
    <t>NY.GDP.PCAP.CN</t>
  </si>
  <si>
    <t>GDP per capita (current LCU)</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</si>
  <si>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local currency.</t>
  </si>
  <si>
    <t>Economic Policy &amp; Debt: National accounts</t>
  </si>
  <si>
    <t>NY.GNP.MKTP.PP.KD</t>
  </si>
  <si>
    <t>GNI, PPP (constant 2005 international $)</t>
  </si>
  <si>
    <t>PPP GNI (formerly PPP GNP) is gross national income (GNI) converted to international dollars using purchasing power parity rates. An international dollar has the same purchasing power over GNI as a U.S. dollar has in the United States. Gross national income is the sum of value added by all resident producers plus any product taxes (less subsidies) not included in the valuation of output plus net receipts of primary income (compensation of employees and property income) from abroad. Data are in constant 2005 international dollars.</t>
  </si>
  <si>
    <t>World Bank, International Comparison Program database.</t>
  </si>
  <si>
    <t>Economic Policy &amp; Debt: Purchasing power parity</t>
  </si>
  <si>
    <t>NY.GNP.PCAP.CN</t>
  </si>
  <si>
    <t>GNI per capita (current LCU)</t>
  </si>
  <si>
    <t>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 Data are in current local currency.</t>
  </si>
  <si>
    <t>NY.GNP.PCAP.PP.KD</t>
  </si>
  <si>
    <t>GNI per capita, PPP (constant 2005 international $)</t>
  </si>
  <si>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constant 2005 international dollars.</t>
  </si>
  <si>
    <t>SH.ANM.CHLD.ZS</t>
  </si>
  <si>
    <t>Prevalence of anemia among children (% of children under 5)</t>
  </si>
  <si>
    <t>Prevalence of anemia, children under age 5, is the percentage of children under age 5 whose hemoglobin level is less than 110 grams per liter at sea level.</t>
  </si>
  <si>
    <t>Technical cooperation grants (BoP, current US$)</t>
  </si>
  <si>
    <t>Technical cooperation grants include free-standing technical cooperation grants, which are intended to finance the transfer of technical and managerial skills or of technology for the purpose of building up general national capacity without reference to any specific investment projects; and investment-related technical cooperation grants, which are provided to strengthen the capacity to execute specific investment projects. Data are in current U.S. dollars.</t>
  </si>
  <si>
    <t>DT.NFL.UNPB.CD</t>
  </si>
  <si>
    <t>Net official flows from UN agencies, UNPBF (current US$)</t>
  </si>
  <si>
    <t>Development Assistance Committee of the Organisation for Economic Co-operation and Development, Geographical Distribution of Financial Flows to Developing Countries, Development Co-operation Report, and International Development Statistics database. Data are available online at: www.oecd.org/dac/stats/idsonline.</t>
  </si>
  <si>
    <t>Economic Policy &amp; Debt: Official development assistance</t>
  </si>
  <si>
    <t>EN.CO2.BLDG.ZS</t>
  </si>
  <si>
    <t>CO2 emissions from residential buildings and commercial and public services (% of total fuel combustion)</t>
  </si>
  <si>
    <t>EN.CO2.ETOT.ZS</t>
  </si>
  <si>
    <t>CO2 emissions from electricity and heat production, total (% of total fuel combustion)</t>
  </si>
  <si>
    <t>EN.CO2.MANF.ZS</t>
  </si>
  <si>
    <t>CO2 emissions from manufacturing industries and construction (% of total fuel combustion)</t>
  </si>
  <si>
    <t>EN.CO2.OTHX.ZS</t>
  </si>
  <si>
    <t>CO2 emissions from other sectors, excluding residential buildings and commercial and public services (% of total fuel combustion)</t>
  </si>
  <si>
    <t>EN.CO2.TRAN.ZS</t>
  </si>
  <si>
    <t>CO2 emissions from transport (% of total fuel combustion)</t>
  </si>
  <si>
    <t>AG.LND.EL5M.ZS</t>
  </si>
  <si>
    <t>Land area where elevation is below 5 meters (% of total land area)</t>
  </si>
  <si>
    <t>Land area below 5m is the percentage of total land where the elevation is 5 meters or less.</t>
  </si>
  <si>
    <t>Economic Policy &amp; Debt: Balance of payments: Current account: Transfers</t>
  </si>
  <si>
    <t>International Monetary Fund, Balance of Payments Statistics Yearbook and data files, and World Bank and OECD GDP estimates.</t>
  </si>
  <si>
    <t>DT.NFL.IAEA.CD</t>
  </si>
  <si>
    <t>Net official flows from UN agencies, IAEA (current US$)</t>
  </si>
  <si>
    <t>DT.NFL.UNEC.CD</t>
  </si>
  <si>
    <t>Net official flows from UN agencies, UNECE (current US$)</t>
  </si>
  <si>
    <t>DT.NFL.WHOL.CD</t>
  </si>
  <si>
    <t>Net official flows from UN agencies, WHO (current US$)</t>
  </si>
  <si>
    <t>Firms competing against unregistered firms are the percentage of firms competing against unregistered or informal firms.</t>
  </si>
  <si>
    <t>29 May, 2013: Corrections have been made to country-level data for adjusted net savings including particulate emission damage in both US$ and as a % of GNI; and missing data have been restored for IBRD loans and IDA credits (DOD, current US$) .</t>
  </si>
  <si>
    <t>14 May, 2013: Revisions and corrections have been made to poverty data and metadata; aggregate rates for the lifetime risk of maternal death; Guatemala's value added national accounts data from 2009 to 2011; and to the calculation of adjusted savings aggregates for gross savings, particulate emissions damage, and adjusted net savings.</t>
  </si>
  <si>
    <t>DC.DAC.CZEL.CD</t>
  </si>
  <si>
    <t>Net bilateral aid flows from DAC donors, Czech Republic (current US$)</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</si>
  <si>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Iceland, Ireland, Italy, Japan, Republic of Korea, Luxembourg, Netherlands, New Zealand, Norway, Portugal, Spain, Sweden, Switzerland, United Kingdom, United States, and European Union Institutions. Regional aggregates include data for economies not specified elsewhere. World and income group totals include aid not allocated by country or region. Data are in current U.S. dollars.</t>
  </si>
  <si>
    <t>DC.DAC.ISLL.CD</t>
  </si>
  <si>
    <t>Net bilateral aid flows from DAC donors, Iceland (current US$)</t>
  </si>
  <si>
    <t>Net official development assistance and official aid received (constant 2011 US$)</t>
  </si>
  <si>
    <t>Net official aid received (constant 2011 US$)</t>
  </si>
  <si>
    <t>Net official development assistance received (constant 2011 US$)</t>
  </si>
  <si>
    <t>EA.PRD.AGRI.KD</t>
  </si>
  <si>
    <t>Agriculture value added per worker (constant 2000 US$)</t>
  </si>
  <si>
    <t>Agriculture value added per worker (constant 2005 US$)</t>
  </si>
  <si>
    <t>EN.ATM.CO2E.KD.GD</t>
  </si>
  <si>
    <t>CO2 emissions (kg per 2000 US$ of GDP)</t>
  </si>
  <si>
    <t>CO2 emissions (kg per 2005 US$ of GDP)</t>
  </si>
  <si>
    <t>Water productivity, total (constant 2005 US$ GDP per cubic meter of total freshwater withdrawal)</t>
  </si>
  <si>
    <t>NE.CON.GOVT.KD</t>
  </si>
  <si>
    <t>General government final consumption expenditure (constant 2000 US$)</t>
  </si>
  <si>
    <t>General government final consumption expenditure (constant 2005 US$)</t>
  </si>
  <si>
    <t>NE.CON.PETC.KD</t>
  </si>
  <si>
    <t>Household final consumption expenditure, etc. (constant 2000 US$)</t>
  </si>
  <si>
    <t>Household final consumption expenditure, etc. (constant 2005 US$)</t>
  </si>
  <si>
    <t>NE.CON.PRVT.KD</t>
  </si>
  <si>
    <t>Household final consumption expenditure (constant 2000 US$)</t>
  </si>
  <si>
    <t>Household final consumption expenditure (constant 2005 US$)</t>
  </si>
  <si>
    <t>NE.CON.PRVT.PC.KD</t>
  </si>
  <si>
    <t>Household final consumption expenditure per capita (constant 2000 US$)</t>
  </si>
  <si>
    <t>Household final consumption expenditure per capita (constant 2005 US$)</t>
  </si>
  <si>
    <t>NE.CON.TETC.KD</t>
  </si>
  <si>
    <t>Final consumption expenditure, etc. (constant 2000 US$)</t>
  </si>
  <si>
    <t>Final consumption expenditure, etc. (constant 2005 US$)</t>
  </si>
  <si>
    <t>NE.CON.TOTL.KD</t>
  </si>
  <si>
    <t>Final consumption expenditure (constant 2000 US$)</t>
  </si>
  <si>
    <t>Final consumption expenditure (constant 2005 US$)</t>
  </si>
  <si>
    <t>NE.DAB.TOTL.KD</t>
  </si>
  <si>
    <t>Gross national expenditure (constant 2000 US$)</t>
  </si>
  <si>
    <t>Gross national expenditure (constant 2005 US$)</t>
  </si>
  <si>
    <t>NE.EXP.GNFS.KD</t>
  </si>
  <si>
    <t>Exports of goods and services (constant 2000 US$)</t>
  </si>
  <si>
    <t>Exports of goods and services (constant 2005 US$)</t>
  </si>
  <si>
    <t>NE.GDI.FTOT.KD</t>
  </si>
  <si>
    <t>Gross fixed capital formation (constant 2000 US$)</t>
  </si>
  <si>
    <t>Gross fixed capital formation (constant 2005 US$)</t>
  </si>
  <si>
    <t>NE.GDI.TOTL.KD</t>
  </si>
  <si>
    <t>Gross capital formation (constant 2000 US$)</t>
  </si>
  <si>
    <t>Gross capital formation (constant 2005 US$)</t>
  </si>
  <si>
    <t>NE.IMP.GNFS.KD</t>
  </si>
  <si>
    <t>Imports of goods and services (constant 2000 US$)</t>
  </si>
  <si>
    <t>Imports of goods and services (constant 2005 US$)</t>
  </si>
  <si>
    <t>NV.AGR.TOTL.KD</t>
  </si>
  <si>
    <t>Agriculture, value added (constant 2000 US$)</t>
  </si>
  <si>
    <t>Agriculture, value added (constant 2005 US$)</t>
  </si>
  <si>
    <t>NV.IND.MANF.KD</t>
  </si>
  <si>
    <t>Manufacturing, value added (constant 2000 US$)</t>
  </si>
  <si>
    <t>Manufacturing, value added (constant 2005 US$)</t>
  </si>
  <si>
    <t>NV.IND.TOTL.KD</t>
  </si>
  <si>
    <t>Industry, value added (constant 2000 US$)</t>
  </si>
  <si>
    <t>Industry, value added (constant 2005 US$)</t>
  </si>
  <si>
    <t>NV.SRV.TETC.KD</t>
  </si>
  <si>
    <t>Services, etc., value added (constant 2000 US$)</t>
  </si>
  <si>
    <t>Services, etc., value added (constant 2005 US$)</t>
  </si>
  <si>
    <t>Adjusted net national income (constant 2005 US$)</t>
  </si>
  <si>
    <t>NY.GDP.FCST.KD</t>
  </si>
  <si>
    <t>Gross value added at factor cost (constant 2000 US$)</t>
  </si>
  <si>
    <t>Gross value added at factor cost (constant 2005 US$)</t>
  </si>
  <si>
    <t>NY.GDP.MKTP.KD</t>
  </si>
  <si>
    <t>GDP (constant 2000 US$)</t>
  </si>
  <si>
    <t>GDP (constant 2005 US$)</t>
  </si>
  <si>
    <t>NY.GDP.PCAP.KD</t>
  </si>
  <si>
    <t>GDP per capita (constant 2000 US$)</t>
  </si>
  <si>
    <t>GDP per capita (constant 2005 US$)</t>
  </si>
  <si>
    <t>NY.GDY.TOTL.KD</t>
  </si>
  <si>
    <t>Gross domestic income (constant 2000 US$)</t>
  </si>
  <si>
    <t>Gross domestic income (constant 2005 US$)</t>
  </si>
  <si>
    <t>GNI (constant 2005 US$)</t>
  </si>
  <si>
    <t>GNI per capita (constant 2005 US$)</t>
  </si>
  <si>
    <t>DC.DAC.AUSL.CD</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</si>
  <si>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Denmark, Finland, France, Germany, Greece, Ireland, Italy, Japan, Republic of Korea, Luxembourg, Netherlands, New Zealand, Norway, Portugal, Spain, Sweden, Switzerland, United Kingdom, United States, and European Union Institutions. Regional aggregates include data for economies not specified elsewhere. World and income group totals include aid not allocated by country or region. Data are in current U.S. dollars.</t>
  </si>
  <si>
    <t>DC.DAC.AUTL.CD</t>
  </si>
  <si>
    <t>DC.DAC.BELL.CD</t>
  </si>
  <si>
    <t>DC.DAC.CANL.CD</t>
  </si>
  <si>
    <t>DC.DAC.CHEL.CD</t>
  </si>
  <si>
    <t>DC.DAC.DEUL.CD</t>
  </si>
  <si>
    <t>DC.DAC.DNKL.CD</t>
  </si>
  <si>
    <t>DC.DAC.ESPL.CD</t>
  </si>
  <si>
    <t>DC.DAC.FINL.CD</t>
  </si>
  <si>
    <t>DC.DAC.FRAL.CD</t>
  </si>
  <si>
    <t>DC.DAC.GBRL.CD</t>
  </si>
  <si>
    <t>DC.DAC.GRCL.CD</t>
  </si>
  <si>
    <t>DC.DAC.IRLL.CD</t>
  </si>
  <si>
    <t>DC.DAC.ITAL.CD</t>
  </si>
  <si>
    <t>DC.DAC.JPNL.CD</t>
  </si>
  <si>
    <t>DC.DAC.KORL.CD</t>
  </si>
  <si>
    <t>DC.DAC.LUXL.CD</t>
  </si>
  <si>
    <t>DC.DAC.NLDL.CD</t>
  </si>
  <si>
    <t>DC.DAC.NORL.CD</t>
  </si>
  <si>
    <t>DC.DAC.NZLL.CD</t>
  </si>
  <si>
    <t>DC.DAC.PRTL.CD</t>
  </si>
  <si>
    <t>DC.DAC.SWEL.CD</t>
  </si>
  <si>
    <t>DC.DAC.TOTL.CD</t>
  </si>
  <si>
    <t>DC.DAC.USAL.CD</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</si>
  <si>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2009 U.S. dollars.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</si>
  <si>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2011 U.S. dollars.</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</si>
  <si>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2009 U.S. dollars.</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</si>
  <si>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2011 U.S. dollars.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</si>
  <si>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2009 U.S. dollars.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</si>
  <si>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2011 U.S. dollars.</t>
  </si>
  <si>
    <t>Agriculture value added per worker is a measure of agricultural productivity. Value added in agriculture measures the output of the agricultural sector (ISIC divisions 1-5) less the value of intermediate inputs. Agriculture comprises value added from forestry, hunting, and fishing as well as cultivation of crops and livestock production. Data are in constant 2000 U.S. dollars.</t>
  </si>
  <si>
    <t>Agriculture value added per worker is a measure of agricultural productivity. Value added in agriculture measures the output of the agricultural sector (ISIC divisions 1-5) less the value of intermediate inputs. Agriculture comprises value added from forestry, hunting, and fishing as well as cultivation of crops and livestock production. Data are in constant 2005 U.S. dollars.</t>
  </si>
  <si>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 Data are in constant 2000 U.S. dollars.</t>
  </si>
  <si>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 Data are in constant 2005 U.S. dollars.</t>
  </si>
  <si>
    <t>NE.CON.GOVT.KD.ZG</t>
  </si>
  <si>
    <t>Annual percentage growth of general government final consumption expenditure based on constant local currency. Aggregates are based on constant 2000 U.S. dollars. General government final consumption expenditure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t>
  </si>
  <si>
    <t>Annual percentage growth of general government final consumption expenditure based on constant local currency. Aggregates are based on constant 2005 U.S. dollars. General government final consumption expenditure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</si>
  <si>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This item also includes any statistical discrepancy in the use of resources relative to the supply of resources. Data are in constant 2000 U.S. dollars.</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</si>
  <si>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This item also includes any statistical discrepancy in the use of resources relative to the supply of resources. Data are in constant 2005 U.S. dollars.</t>
  </si>
  <si>
    <t>NE.CON.PETC.KD.ZG</t>
  </si>
  <si>
    <t>Annual percentage growth of household final consumption expenditure is based on constant local currency. Aggregates are based on constant 2000 U.S. dollars. 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This item also includes any statistical discrepancy in the use of resources relative to the supply of resources.</t>
  </si>
  <si>
    <t>Annual percentage growth of household final consumption expenditure is based on constant local currency. Aggregates are based on constant 2005 U.S. dollars. 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This item also includes any statistical discrepancy in the use of resources relative to the supply of resources.</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</si>
  <si>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Data are in constant 2000 U.S. dollars.</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</si>
  <si>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Data are in constant 2005 U.S. dollars.</t>
  </si>
  <si>
    <t>NE.CON.PRVT.KD.ZG</t>
  </si>
  <si>
    <t>Annual percentage growth of household final consumption expenditure based on constant local currency. Aggregates are based on constant 2000 U.S. dollars. 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t>
  </si>
  <si>
    <t>Annual percentage growth of household final consumption expenditure based on constant local currency. Aggregates are based on constant 2005 U.S. dollars. 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t>
  </si>
  <si>
    <t>Household final consumption expenditure per capita (private consumption per capita) is calculated using private consumption in constant 2000 prices and World Bank population estimates. Household final consumption expenditure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Data are in constant 2000 U.S. dollars.</t>
  </si>
  <si>
    <t>Household final consumption expenditure per capita (private consumption per capita) is calculated using private consumption in constant 2005 prices and World Bank population estimates. Household final consumption expenditure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Data are in constant 2005 U.S. dollars.</t>
  </si>
  <si>
    <t>NE.CON.PRVT.PC.KD.ZG</t>
  </si>
  <si>
    <t>Annual percentage growth of household final consumption expenditure per capita, which is calculated using household final consumption expenditure in constant 2000 prices and World Bank population estimates. Household final consumption expenditure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t>
  </si>
  <si>
    <t>Annual percentage growth of household final consumption expenditure per capita, which is calculated using household final consumption expenditure in constant 2005 prices and World Bank population estimates. Household final consumption expenditure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t>
  </si>
  <si>
    <t>Final consumption expenditure (formerly total consumption) is the sum of household final consumption expenditure (formerly private consumption) and general government final consumption expenditure (formerly general government consumption). This estimate includes any statistical discrepancy in the use of resources relative to the supply of resources. Data are in constant 2000 U.S. dollars.</t>
  </si>
  <si>
    <t>Final consumption expenditure (formerly total consumption) is the sum of household final consumption expenditure (formerly private consumption) and general government final consumption expenditure (formerly general government consumption). This estimate includes any statistical discrepancy in the use of resources relative to the supply of resources. Data are in constant 2005 U.S. dollars.</t>
  </si>
  <si>
    <t>NE.CON.TETC.KD.ZG</t>
  </si>
  <si>
    <t>Average annual growth of final consumption expenditure based on constant local currency. Aggregates are based on constant 2000 U.S. dollars. Final consumption expenditure (formerly total consumption) is the sum of household final consumption expenditure (formerly private consumption) and general government final consumption expenditure (formerly general government consumption). This estimate includes any statistical discrepancy in the use of resources relative to the supply of resources.</t>
  </si>
  <si>
    <t>Average annual growth of final consumption expenditure based on constant local currency. Aggregates are based on constant 2005 U.S. dollars. Final consumption expenditure (formerly total consumption) is the sum of household final consumption expenditure (formerly private consumption) and general government final consumption expenditure (formerly general government consumption). This estimate includes any statistical discrepancy in the use of resources relative to the supply of resources.</t>
  </si>
  <si>
    <t>Final consumption expenditure (formerly total consumption) is the sum of household final consumption expenditure (formerly private consumption) and general government final consumption expenditure (formerly general government consumption). Data are in constant 2000 U.S. dollars.</t>
  </si>
  <si>
    <t>Final consumption expenditure (formerly total consumption) is the sum of household final consumption expenditure (formerly private consumption) and general government final consumption expenditure (formerly general government consumption). Data are in constant 2005 U.S. dollars.</t>
  </si>
  <si>
    <t>Gross national expenditure (formerly domestic absorption) is the sum of household final consumption expenditure (formerly private consumption), general government final consumption expenditure (formerly general government consumption), and gross capital formation (formerly gross domestic investment). Data are in constant 2000 U.S. dollars.</t>
  </si>
  <si>
    <t>Gross national expenditure (formerly domestic absorption) is the sum of household final consumption expenditure (formerly private consumption), general government final consumption expenditure (formerly general government consumption), and gross capital formation (formerly gross domestic investment). Data are in constant 2005 U.S. dollars.</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</si>
  <si>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2000 U.S. dollars.</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</si>
  <si>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2005 U.S. dollars.</t>
  </si>
  <si>
    <t>NE.EXP.GNFS.KD.ZG</t>
  </si>
  <si>
    <t>Annual growth rate of exports of goods and services based on constant local currency. Aggregates are based on constant 2000 U.S. dollars. 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</si>
  <si>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Annual growth rate of exports of goods and services based on constant local currency. Aggregates are based on constant 2005 U.S. dollars. 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</si>
  <si>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Gross fixed capital formation (formerly gross domestic fixed investment) includes land improvements (fences, ditches, drains, and so on); plant, machinery, and equipment purchases; and the construction of roads, railways, and the like, including schools, offices, hospitals, private residential dwellings, and commercial and industrial buildings. According to the 1993 SNA, net acquisitions of valuables are also considered capital formation. Data are in constant 2000 U.S. dollars.</t>
  </si>
  <si>
    <t>Gross fixed capital formation (formerly gross domestic fixed investment) includes land improvements (fences, ditches, drains, and so on); plant, machinery, and equipment purchases; and the construction of roads, railways, and the like, including schools, offices, hospitals, private residential dwellings, and commercial and industrial buildings. According to the 1993 SNA, net acquisitions of valuables are also considered capital formation. Data are in constant 2005 U.S. dollars.</t>
  </si>
  <si>
    <t>NE.GDI.FTOT.KD.ZG</t>
  </si>
  <si>
    <t>Average annual growth of gross fixed capital formation based on constant local currency. Aggregates are based on constant 2000 U.S. dollars. Gross fixed capital formation (formerly gross domestic fixed investment) includes land improvements (fences, ditches, drains, and so on); plant, machinery, and equipment purchases; and the construction of roads, railways, and the like, including schools, offices, hospitals, private residential dwellings, and commercial and industrial buildings. According to the 1993 SNA, net acquisitions of valuables are also considered capital formation.</t>
  </si>
  <si>
    <t>Average annual growth of gross fixed capital formation based on constant local currency. Aggregates are based on constant 2005 U.S. dollars. Gross fixed capital formation (formerly gross domestic fixed investment) includes land improvements (fences, ditches, drains, and so on); plant, machinery, and equipment purchases; and the construction of roads, railways, and the like, including schools, offices, hospitals, private residential dwellings, and commercial and industrial buildings. According to the 1993 SNA, net acquisitions of valuables are also considered capital formation.</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</si>
  <si>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 Data are in constant 2000 U.S. dollars.</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</si>
  <si>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 Data are in constant 2005 U.S. dollars.</t>
  </si>
  <si>
    <t>NE.GDI.TOTL.KD.ZG</t>
  </si>
  <si>
    <t>Annual growth rate of gross capital formation based on constant local currency. Aggregates are based on constant 2000 U.S. dollars. 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</si>
  <si>
    <t>Annual growth rate of gross capital formation based on constant local currency. Aggregates are based on constant 2005 U.S. dollars. 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</si>
  <si>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2000 U.S. dollars.</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</si>
  <si>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2005 U.S. dollars.</t>
  </si>
  <si>
    <t>NE.IMP.GNFS.KD.ZG</t>
  </si>
  <si>
    <t>Annual growth rate of imports of goods and services based on constant local currency. Aggregates are based on constant 2000 U.S. dollars. 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</si>
  <si>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Annual growth rate of imports of goods and services based on constant local currency. Aggregates are based on constant 2005 U.S. dollars. 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</si>
  <si>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Agriculture corresponds to ISIC divisions 1-5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Data are in constant 2000 U.S. dollars.</t>
  </si>
  <si>
    <t>Agriculture corresponds to ISIC divisions 1-5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Data are in constant 2005 U.S. dollars.</t>
  </si>
  <si>
    <t>NV.AGR.TOTL.KD.ZG</t>
  </si>
  <si>
    <t>Annual growth rate for agricultural value added based on constant local currency. Aggregates are based on constant 2000 U.S. dollars. Agriculture corresponds to ISIC divisions 1-5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t>
  </si>
  <si>
    <t>Annual growth rate for agricultural value added based on constant local currency. Aggregates are based on constant 2005 U.S. dollars. Agriculture corresponds to ISIC divisions 1-5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t>
  </si>
  <si>
    <t>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Data are expressed constant 2000 U.S. dollars.</t>
  </si>
  <si>
    <t>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Data are expressed constant 2005 U.S. dollars.</t>
  </si>
  <si>
    <t>NV.IND.MANF.KD.ZG</t>
  </si>
  <si>
    <t>Annual growth rate for manufacturing value added based on constant local currency. Aggregates are based on constant 2000 U.S. dollars. 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t>
  </si>
  <si>
    <t>Annual growth rate for manufacturing value added based on constant local currency. Aggregates are based on constant 2005 U.S. dollars. 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t>
  </si>
  <si>
    <t>Industry corresponds to ISIC divisions 10-45 and includes manufacturing (ISIC divisions 15-37). It comprises value added in mining, manufacturing (also reported as a separate subgroup), construction, electricity, water, and gas.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Data are in constant 2000 U.S. dollars.</t>
  </si>
  <si>
    <t>Industry corresponds to ISIC divisions 10-45 and includes manufacturing (ISIC divisions 15-37). It comprises value added in mining, manufacturing (also reported as a separate subgroup), construction, electricity, water, and gas.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Data are in constant 2005 U.S. dollars.</t>
  </si>
  <si>
    <t>NV.IND.TOTL.KD.ZG</t>
  </si>
  <si>
    <t>Annual growth rate for industrial value added based on constant local currency. Aggregates are based on constant 2000 U.S. dollars. Industry corresponds to ISIC divisions 10-45 and includes manufacturing (ISIC divisions 15-37). It comprises value added in mining, manufacturing (also reported as a separate subgroup), construction, electricity, water, and gas.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t>
  </si>
  <si>
    <t>Annual growth rate for industrial value added based on constant local currency. Aggregates are based on constant 2005 U.S. dollars. Industry corresponds to ISIC divisions 10-45 and includes manufacturing (ISIC divisions 15-37). It comprises value added in mining, manufacturing (also reported as a separate subgroup), construction, electricity, water, and gas.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t>
  </si>
  <si>
    <t>Services correspond to ISIC divisions 50-99.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Data are in constant 2000 U.S. dollars.</t>
  </si>
  <si>
    <t>Services correspond to ISIC divisions 50-99.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Data are in constant 2005 U.S. dollars.</t>
  </si>
  <si>
    <t>NV.SRV.TETC.KD.ZG</t>
  </si>
  <si>
    <t>Annual growth rate for value added in services based on constant local currency. Aggregates are based on constant 2000 U.S. dollars. Services correspond to ISIC divisions 50-99.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t>
  </si>
  <si>
    <t>Annual growth rate for value added in services based on constant local currency. Aggregates are based on constant 2005 U.S. dollars. Services correspond to ISIC divisions 50-99.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t>
  </si>
  <si>
    <t>Gross value added at factor cost (formerly GDP at factor cost) is derived as the sum of the value added in the agriculture, industry and services sectors. If the value added of these sectors is calculated at purchaser values, gross value added at factor cost is derived by subtracting net product taxes from GDP. Data are in constant 2000 U.S. dollars.</t>
  </si>
  <si>
    <t>Gross value added at factor cost (formerly GDP at factor cost) is derived as the sum of the value added in the agriculture, industry and services sectors. If the value added of these sectors is calculated at purchaser values, gross value added at factor cost is derived by subtracting net product taxes from GDP. Data are in constant 2005 U.S. dollars.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</si>
  <si>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2000 U.S. dollars. Dollar figures for GDP are converted from domestic currencies using 2000 official exchange rates. For a few countries where the official exchange rate does not reflect the rate effectively applied to actual foreign exchange transactions, an alternative conversion factor is used.</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</si>
  <si>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2005 U.S. dollars. Dollar figures for GDP are converted from domestic currencies using 2000 official exchange rates. For a few countries where the official exchange rate does not reflect the rate effectively applied to actual foreign exchange transactions, an alternative conversion factor is used.</t>
  </si>
  <si>
    <t>NY.GDP.MKTP.KD.ZG</t>
  </si>
  <si>
    <t>Annual percentage growth rate of GDP at market prices based on constant local currency. Aggregates are based on constant 2000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</si>
  <si>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Annual percentage growth rate of GDP at market prices based on constant local currency. Aggregates are based on constant 2005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</si>
  <si>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2000 U.S. dollars.</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</si>
  <si>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2005 U.S. dollars.</t>
  </si>
  <si>
    <t>NY.GDP.PCAP.KD.ZG</t>
  </si>
  <si>
    <t>Annual percentage growth rate of GDP per capita based on constant local currency.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</si>
  <si>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Annual percentage growth rate of GDP per capita based on constant local currency. Aggregates are based on constant 2005 U.S. dollars.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</si>
  <si>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Gross domestic income is derived as the sum of GDP and the terms of trade adjustment. Data are in constant 2000 U.S. dollars.</t>
  </si>
  <si>
    <t>Gross domestic income is derived as the sum of GDP and the terms of trade adjustment. Data are in constant 2005 U.S. dollars.</t>
  </si>
  <si>
    <t>GNI (formerly GNP) is the sum of value added by all resident producers plus any product taxes (less subsidies) not included in the valuation of output plus net receipts of primary income (compensation of employees and property income) from abroad. Data are in constant 2005 U.S. dollars.</t>
  </si>
  <si>
    <t>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 Data are in constant 2005 U.S. dollars.</t>
  </si>
  <si>
    <t>Annual percentage growth rate of GNI per capita based on constant local currency. Aggregates are based on constant 2005 U.S. dollars. 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t>
  </si>
  <si>
    <t>2 July, 2013: 2012 data (plus revised historical data, where necessary) for all countries and groups for population-, GDP- and GNI-related indicators have been released. National accounts constant U.S. dollar data are now based to the year 2005. Other data that have been updated include balance of payments, government finance and monetary indicators, education, CPIA indicators, and bilateral aid flows. Country classification hierarchies and group aggregate data reflect new fiscal year 2014 income classifications.</t>
  </si>
  <si>
    <t>1 August, 2013: Updates include access to an improved water source, access to improved sanitation facilities, access to electricity, tuberculosis, poverty, merchandise trade, and phone and Internet indicators. 2012 PPP indicators for OECD countries and aggregates have been revised. Corrections have been made for Philippines high-tech exports for 2010; and for national accounts data for Ghana, Pakistan, and Solomon Islands. Aggregate population growth rates for 2012 have been added.</t>
  </si>
  <si>
    <t>Number of infants dying before reaching one year of age.</t>
  </si>
  <si>
    <t>Number of children dying before reaching age five.</t>
  </si>
  <si>
    <t>Number of neonates dying before reaching 28 days of age.</t>
  </si>
  <si>
    <t>SH.H2O.SAFE.RU.ZS</t>
  </si>
  <si>
    <t>Access to an improved water source refers to the percentage of the population with reasonable access to an adequate amount of water from an improved source, such as a household connection, public standpipe, borehole, protected well or spring, and rainwater collection. Unimproved sources include vendors, tanker trucks, and unprotected wells and springs. Reasonable access is defined as the availability of at least 20 liters a person a day from a source within one kilometer of the dwelling.</t>
  </si>
  <si>
    <t>Access to an improved water source refers to the percentage of the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t>
  </si>
  <si>
    <t>SH.H2O.SAFE.UR.ZS</t>
  </si>
  <si>
    <t>SH.H2O.SAFE.ZS</t>
  </si>
  <si>
    <t>SH.STA.ACSN</t>
  </si>
  <si>
    <t>Access to improved sanitation facilities refers to the percentage of the population with at least adequate access to excreta disposal facilities that can effectively prevent human, animal, and insect contact with excreta. Improved facilities range from simple but protected pit latrines to flush toilets with a sewerage connection. To be effective, facilities must be correctly constructed and properly maintained.</t>
  </si>
  <si>
    <t>Access to improved sanitation facilities refers to the percentage of the population using improved sanitation facilities. The improved sanitation facilities include flush/pour flush (to piped sewer system, septic tank, pit latrine), ventilated improved pit (VIP) latrine, pit latrine with slab, and composting toilet.</t>
  </si>
  <si>
    <t>SH.STA.ACSN.RU</t>
  </si>
  <si>
    <t>SH.STA.ACSN.UR</t>
  </si>
  <si>
    <t>Estimates developed by the UN Inter-agency Group for Child Mortality Estimation (UNICEF, WHO, World Bank, UN DESA Population Division) at www.childmortality.org.</t>
  </si>
  <si>
    <t>World Health Organization and United Nations Children's Fund, Joint Measurement Programme (JMP) (http://www.wssinfo.org/).</t>
  </si>
  <si>
    <t>WHO/UNICEF Joint Monitoring Programme (JMP) for Water Supply and Sanitation (http://www.wssinfo.org/).</t>
  </si>
  <si>
    <t>SP.DYN.IMRT.FE.IN</t>
  </si>
  <si>
    <t>SP.DYN.IMRT.MA.IN</t>
  </si>
  <si>
    <t>13 September, 2013: New child mortality data, including 2012 estimates, have been released.</t>
  </si>
  <si>
    <t>23 September, 2013: Data have been updated for national accounts, balance of payments, government finance and monetary indicators, energy, CO2 emissions, land use, and military expenditures.</t>
  </si>
  <si>
    <t>Mortality rate, infant, female (per 1,000 live births)</t>
  </si>
  <si>
    <t>Mortality rate, infant, male (per 1,000 live births)</t>
  </si>
  <si>
    <t>SH.STA.ORTH</t>
  </si>
  <si>
    <t>Diarrhea treatment (% of children under 5 who received ORS packet)</t>
  </si>
  <si>
    <t>allsp.cov_pop</t>
  </si>
  <si>
    <t>Coverage of social protection and labor programs (% of population)</t>
  </si>
  <si>
    <t>allsi.cov_pop</t>
  </si>
  <si>
    <t>Coverage of social insurance programs (% of population)</t>
  </si>
  <si>
    <t>allsa.cov_pop</t>
  </si>
  <si>
    <t>Coverage of social safety net programs (% of population)</t>
  </si>
  <si>
    <t>lm_ub.cov_pop</t>
  </si>
  <si>
    <t>Coverage of unemployment benefits and ALMP (% of population)</t>
  </si>
  <si>
    <t>allsp.bi_q1</t>
  </si>
  <si>
    <t>Benefit incidence of social protection and labor programs to poorest quintile (% of total SPL benefits)</t>
  </si>
  <si>
    <t>allsi.bi_q1</t>
  </si>
  <si>
    <t>Benefit incidence of social insurance programs to poorest quintile (% of total social insurance benefits)</t>
  </si>
  <si>
    <t>allsa.bi_q1</t>
  </si>
  <si>
    <t>Benefit incidence of social safety net programs to poorest quintile (% of total safety net benefits)</t>
  </si>
  <si>
    <t>lm_ub.bi_q1</t>
  </si>
  <si>
    <t>Benefit incidence of unemployment benefits and ALMP to poorest quintile (% of total U/ALMP benefits)</t>
  </si>
  <si>
    <t>allsp.gen_pop</t>
  </si>
  <si>
    <t>Generosity of social protection and labor programs (% of total welfare of beneficiary households)</t>
  </si>
  <si>
    <t>allsi.gen_pop</t>
  </si>
  <si>
    <t>Generosity of social insurance programs (% of total welfare of beneficiary households)</t>
  </si>
  <si>
    <t>allsa.gen_pop</t>
  </si>
  <si>
    <t>Generosity of social safety net programs (% of total welfare of beneficiary households)</t>
  </si>
  <si>
    <t>lm_ub.gen_pop</t>
  </si>
  <si>
    <t>Generosity of unemployment benefits and ALMP (% of total welfare of beneficiary households)</t>
  </si>
  <si>
    <t>Infant mortality rate is the number of infants dying before reaching one year of age, per 1,000 live births in a given year.</t>
  </si>
  <si>
    <t>Percentage of children under age 5 with diarrhea in the two weeks preceding the survey who received oral rehydration salts (ORS packets or pre-packaged ORS fluids).</t>
  </si>
  <si>
    <t>Coverage of social protection and labor programs (SPL) shows the percentage of population participating in social insurance, social safety net, and unemployment benefits and active labor market programs. Estimates include both direct and indirect beneficiaries.</t>
  </si>
  <si>
    <t>ASPIRE: The Atlas of Social Protection - Indicators of Resilience and Equity, The World Bank. Data are based on national representative household surveys. (datatopics.worldbank.org/aspire/)</t>
  </si>
  <si>
    <t>Labor &amp; Social Protection: Performance</t>
  </si>
  <si>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</si>
  <si>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</si>
  <si>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</si>
  <si>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Benefit incidence of social protection and labor programs (SPL) to poorest quintile shows the percentage of total social protection and labor programs benefits received by the poorest 20% of the population. Social protection and labor programs include social insurance, social safety nets, and unemployment benefits and active labor market programs. Estimates include both direct and indirect beneficiaries.</t>
  </si>
  <si>
    <t>Benefit incidence of social insurance programs to poorest quintile shows the percentage of total social insurance benefits received by the poorest 20% of the population.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</si>
  <si>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Benefit incidence of social safety net programs to poorest quintile shows the percentage of total social safety net benefits received by the poorest 20% of the population.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</si>
  <si>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Benefit incidence of unemployment benefits and active labor market programs (ALMP) to poorest quintile shows the percentage of total unemployment and active labor market programs benefits received by the poorest 20% of the population.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</si>
  <si>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Generosity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</si>
  <si>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Generosity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</si>
  <si>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Generosity of social safety net programs is measured by the total transfer amount received by the population participating in social safety net programs as a share of their total welfare. Welfare is defined as the total income or total expenditure of beneficiary households.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</si>
  <si>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Generosity of unemployment benefits and active labor market programs (ALMP) is measured by the total transfer amount received by the population participating in unemployment benefits and active labor market programs as a share of their total welfare. Welfare is defined as the total income or total expenditure of beneficiary households.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</si>
  <si>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Mortality rate, female child (per 1,000 female children age one)</t>
  </si>
  <si>
    <t>Mortality rate, male child (per 1,000 male children age one)</t>
  </si>
  <si>
    <t>SH.VST.OUTP</t>
  </si>
  <si>
    <t>Outpatient visits per capita</t>
  </si>
  <si>
    <t>SH.STA.MMRT</t>
  </si>
  <si>
    <t>Maternal mortality ratio is the number of women who die during pregnancy and childbirth, per 100,000 live births. The data are estimated with a regression model using information on fertility, birth attendants, and HIV prevalence.</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</si>
  <si>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t>
  </si>
  <si>
    <t>Maternal mortality ratio is the number of women who die from pregnancy-related causes while pregnant or within 42 days of pregnancy termination per 100,000 live births.</t>
  </si>
  <si>
    <t>17 October, 2013: Data have been updated for malnutrition and poverty indicators. Corrections have been made to total reserves including gold and related indicators for 2012; government finance data for Liberia for all years; and monetary data, including domestic credit to the private sector, for Slovenia from 1992 to 2006.</t>
  </si>
  <si>
    <t>International Energy Agency, World Energy Outlook. (IEA Statistics © OECD/IEA, http://www.iea.org/stats/index.asp).</t>
  </si>
  <si>
    <t>World Health Organization, Global Database on Child Growth and Malnutrition. Country-level data are unadjusted data from national surveys, and thus may not be comparable across countries.</t>
  </si>
  <si>
    <t>World Health Organization, Global Database on Child Growth and Malnutrition. Country-level data are unadjusted data from national surveys, and thus may not be comparable across countries. Adjusted, comparable data are available at http://www.who.int/nutgrowthdb/en. Aggregation is based on UNICEF, WHO, and the World Bank harmonized dataset (adjusted, comparable data) and methodology.</t>
  </si>
  <si>
    <t>SH.STA.OWGH.ZS</t>
  </si>
  <si>
    <t>SH.STA.STNT.ZS</t>
  </si>
  <si>
    <t>SH.STA.WAST.ZS</t>
  </si>
  <si>
    <t>7 November, 2013: Data have been updated for Doing Business indicators, including new figures for 2013. Doing Business now covers 189 countries. National accounts data have also been updated for Barbados. Corrections have been made to Bangladesh's poverty estimates for 1996.</t>
  </si>
  <si>
    <t>Ease of doing business ranks economies from 1 to 185, with first place being the best. A high ranking (a low numerical rank) means that the regulatory environment is conducive to business operation. The index averages the country's percentile rankings on 10 topics covered in the World Bank's Doing Business. The ranking on each topic is the simple average of the percentile rankings on its component indicators.</t>
  </si>
  <si>
    <t>Ease of doing business ranks economies from 1 to 189, with first place being the best. A high ranking (a low numerical rank) means that the regulatory environment is conducive to business operation. The index averages the country's percentile rankings on 10 topics covered in the World Bank's Doing Business. The ranking on each topic is the simple average of the percentile rankings on its component indicators.</t>
  </si>
  <si>
    <t>27 November, 2013: New HIV/AIDS data, including 2012 estimates, have been released.</t>
  </si>
  <si>
    <t>SH.DYN.AIDS.ZS</t>
  </si>
  <si>
    <t>SH.HIV.1524.FE.ZS</t>
  </si>
  <si>
    <t>SH.HIV.1524.MA.ZS</t>
  </si>
  <si>
    <t>UNAIDS estimates.</t>
  </si>
  <si>
    <t>18 December, 2013: This release features new external debt data from the International Debt Statistics database, updated energy and poverty series, and revised national accounts, PPP, balance of payments, monetary and government finance indicators, and education and labor statistics.</t>
  </si>
  <si>
    <t>IC.FRM.ISOC.ZS</t>
  </si>
  <si>
    <t>IC.GOV.DURS.ZS</t>
  </si>
  <si>
    <t>Time spent dealing with the requirements of government regulations (% of senior management time)</t>
  </si>
  <si>
    <t>IC.TAX.METG</t>
  </si>
  <si>
    <t>Number of visits or required meetings with tax officials</t>
  </si>
  <si>
    <t>ISO certification ownership (% of firms)</t>
  </si>
  <si>
    <t>Management time dealing with officials (% of management time)</t>
  </si>
  <si>
    <t>Average number of times firms spent in meetings with tax officials</t>
  </si>
  <si>
    <t>FS.AST.DOMS.GD.ZS</t>
  </si>
  <si>
    <t>Domestic credit provided by financial sector (% of GDP)</t>
  </si>
  <si>
    <t>Domestic credit provided by banking sector (% of GDP)</t>
  </si>
  <si>
    <t>SH.SVR.WAST.ZS</t>
  </si>
  <si>
    <t>Prevalence of severe wasting, weight for height (% of children under 5)</t>
  </si>
  <si>
    <t>SH.SVR.WAST.FE.ZS</t>
  </si>
  <si>
    <t>Prevalence of severe wasting, weight for height, female (% of children under 5)</t>
  </si>
  <si>
    <t>SH.SVR.WAST.MA.ZS</t>
  </si>
  <si>
    <t>Prevalence of severe wasting, weight for height, male (% of children under 5)</t>
  </si>
  <si>
    <t>FD.AST.PRVT.GD.ZS</t>
  </si>
  <si>
    <t>Domestic credit to private sector by banks (% of GDP)</t>
  </si>
  <si>
    <t>Labor force participation rate for ages 15-24, female (%) (modeled ILO estimate)</t>
  </si>
  <si>
    <t>Labor force participation rate for ages 15-24, male (%) (modeled ILO estimate)</t>
  </si>
  <si>
    <t>Labor force participation rate for ages 15-24, total (%) (modeled ILO estimate)</t>
  </si>
  <si>
    <t>Labor force participation rate, female (% of female population ages 15-64) (modeled ILO estimate)</t>
  </si>
  <si>
    <t>Labor force participation rate, male (% of male population ages 15-64) (modeled ILO estimate)</t>
  </si>
  <si>
    <t>Labor force participation rate, total (% of total population ages 15-64) (modeled ILO estimate)</t>
  </si>
  <si>
    <t>Labor participation rate, female (% of female population ages 15+)</t>
  </si>
  <si>
    <t>Labor force participation rate, female (% of female population ages 15+) (modeled ILO estimate)</t>
  </si>
  <si>
    <t>Labor participation rate, male (% of male population ages 15+)</t>
  </si>
  <si>
    <t>Labor force participation rate, male (% of male population ages 15+) (modeled ILO estimate)</t>
  </si>
  <si>
    <t>Labor participation rate, total (% of total population ages 15+)</t>
  </si>
  <si>
    <t>Labor force participation rate, total (% of total population ages 15+) (modeled ILO estimate)</t>
  </si>
  <si>
    <t>Ratio of female to male labor force participation rate (%) (modeled ILO estimate)</t>
  </si>
  <si>
    <t>SL.UEM.TOTL.FE.ZS</t>
  </si>
  <si>
    <t>Unemployment, female (% of female labor force)</t>
  </si>
  <si>
    <t>Unemployment, female (% of female labor force) (modeled ILO estimate)</t>
  </si>
  <si>
    <t>SL.UEM.TOTL.MA.ZS</t>
  </si>
  <si>
    <t>Unemployment, male (% of male labor force)</t>
  </si>
  <si>
    <t>Unemployment, male (% of male labor force) (modeled ILO estimate)</t>
  </si>
  <si>
    <t>SL.UEM.TOTL.ZS</t>
  </si>
  <si>
    <t>Unemployment, total (% of total labor force)</t>
  </si>
  <si>
    <t>Unemployment, total (% of total labor force) (modeled ILO estimate)</t>
  </si>
  <si>
    <t>SL.UEM.1524.FE.ZS</t>
  </si>
  <si>
    <t>Unemployment, youth female (% of female labor force ages 15-24)</t>
  </si>
  <si>
    <t>Unemployment, youth female (% of female labor force ages 15-24) (modeled ILO estimate)</t>
  </si>
  <si>
    <t>SL.UEM.1524.MA.ZS</t>
  </si>
  <si>
    <t>Unemployment, youth male (% of male labor force ages 15-24)</t>
  </si>
  <si>
    <t>Unemployment, youth male (% of male labor force ages 15-24) (modeled ILO estimate)</t>
  </si>
  <si>
    <t>SL.UEM.1524.ZS</t>
  </si>
  <si>
    <t>Unemployment, youth total (% of total labor force ages 15-24)</t>
  </si>
  <si>
    <t>Unemployment, youth total (% of total labor force ages 15-24) (modeled ILO estimate)</t>
  </si>
  <si>
    <t>SL.UEM.1524.FE.NE.ZS</t>
  </si>
  <si>
    <t>Unemployment, youth female (% of female labor force ages 15-24) (national estimate)</t>
  </si>
  <si>
    <t>SL.UEM.1524.MA.NE.ZS</t>
  </si>
  <si>
    <t>Unemployment, youth male (% of male labor force ages 15-24) (national estimate)</t>
  </si>
  <si>
    <t>SL.UEM.1524.NE.ZS</t>
  </si>
  <si>
    <t>Unemployment, youth total (% of total labor force ages 15-24) (national estimate)</t>
  </si>
  <si>
    <t>SL.UEM.TOTL.FE.NE.ZS</t>
  </si>
  <si>
    <t>Unemployment, female (% of female labor force) (national estimate)</t>
  </si>
  <si>
    <t>SL.UEM.TOTL.MA.NE.ZS</t>
  </si>
  <si>
    <t>Unemployment, male (% of male labor force) (national estimate)</t>
  </si>
  <si>
    <t>SL.UEM.TOTL.NE.ZS</t>
  </si>
  <si>
    <t>Unemployment, total (% of total labor force) (national estimate)</t>
  </si>
  <si>
    <t>SL.TLF.ACTI.1524.FE.NE.ZS</t>
  </si>
  <si>
    <t>Labor force participation rate for ages 15-24, female (%) (national estimate)</t>
  </si>
  <si>
    <t>SL.TLF.ACTI.1524.MA.NE.ZS</t>
  </si>
  <si>
    <t>Labor force participation rate for ages 15-24, male (%) (national estimate)</t>
  </si>
  <si>
    <t>SL.TLF.ACTI.1524.NE.ZS</t>
  </si>
  <si>
    <t>Labor force participation rate for ages 15-24, total (%) (national estimate)</t>
  </si>
  <si>
    <t>SL.TLF.CACT.FE.NE.ZS</t>
  </si>
  <si>
    <t>Labor force participation rate, female (% of female population ages 15+) (national estimate)</t>
  </si>
  <si>
    <t>SL.TLF.CACT.FM.NE.ZS</t>
  </si>
  <si>
    <t>Ratio of female to male labor force participation rate (%) (national estimate)</t>
  </si>
  <si>
    <t>SL.TLF.CACT.MA.NE.ZS</t>
  </si>
  <si>
    <t>Labor force participation rate, male (% of male population ages 15+) (national estimate)</t>
  </si>
  <si>
    <t>SL.TLF.CACT.NE.ZS</t>
  </si>
  <si>
    <t>Labor force participation rate, total (% of total population ages 15+) (national estimate)</t>
  </si>
  <si>
    <t>SL.EMP.1524.SP.FE.ZS</t>
  </si>
  <si>
    <t>Employment to population ratio, ages 15-24, female (%) (modeled ILO estimate)</t>
  </si>
  <si>
    <t>SL.EMP.1524.SP.MA.ZS</t>
  </si>
  <si>
    <t>Employment to population ratio, ages 15-24, male (%) (modeled ILO estimate)</t>
  </si>
  <si>
    <t>SL.EMP.1524.SP.ZS</t>
  </si>
  <si>
    <t>Employment to population ratio, ages 15-24, total (%) (modeled ILO estimate)</t>
  </si>
  <si>
    <t>SL.EMP.TOTL.SP.FE.ZS</t>
  </si>
  <si>
    <t>Employment to population ratio, 15+, female (%) (modeled ILO estimate)</t>
  </si>
  <si>
    <t>SL.EMP.TOTL.SP.MA.ZS</t>
  </si>
  <si>
    <t>Employment to population ratio, 15+, male (%) (modeled ILO estimate)</t>
  </si>
  <si>
    <t>SL.EMP.TOTL.SP.ZS</t>
  </si>
  <si>
    <t>Employment to population ratio, 15+, total (%) (modeled ILO estimate)</t>
  </si>
  <si>
    <t>Employment to population ratio, ages 15-24, female (%)</t>
  </si>
  <si>
    <t>Employment to population ratio, ages 15-24, male (%)</t>
  </si>
  <si>
    <t>Employment to population ratio, ages 15-24, total (%)</t>
  </si>
  <si>
    <t>Employment to population ratio, 15+, female (%)</t>
  </si>
  <si>
    <t>Employment to population ratio, 15+, male (%)</t>
  </si>
  <si>
    <t>Employment to population ratio, 15+, total (%)</t>
  </si>
  <si>
    <t>SG.VAW.REAS.ZS</t>
  </si>
  <si>
    <t>Women who believe a husband is justified in beating his wife (any of five reasons) (%)</t>
  </si>
  <si>
    <t>SG.VAW.ARGU.ZS</t>
  </si>
  <si>
    <t>Women who believe a husband is justified in beating his wife when she argues with him (%)</t>
  </si>
  <si>
    <t>SG.VAW.BURN.ZS</t>
  </si>
  <si>
    <t>Women who believe a husband is justified in beating his wife when she burns the food (%)</t>
  </si>
  <si>
    <t>SG.VAW.REFU.ZS</t>
  </si>
  <si>
    <t>Women who believe a husband is justified in beating his wife when she refuses sex with him (%)</t>
  </si>
  <si>
    <t>SE.SEC.CMPT.LO.FE.ZS</t>
  </si>
  <si>
    <t>Lower secondary completion rate, female (% of relevant age group)</t>
  </si>
  <si>
    <t>SE.SEC.CMPT.LO.MA.ZS</t>
  </si>
  <si>
    <t>Lower secondary completion rate, male (% of relevant age group)</t>
  </si>
  <si>
    <t>SE.SEC.CMPT.LO.ZS</t>
  </si>
  <si>
    <t>Lower secondary completion rate, total (% of relevant age group)</t>
  </si>
  <si>
    <t>SG.VAW.GOES.ZS</t>
  </si>
  <si>
    <t>Women who believe a husband is justified in beating his wife when she goes out without telling him (%)</t>
  </si>
  <si>
    <t>SG.VAW.NEGL.ZS</t>
  </si>
  <si>
    <t>Women who believe a husband is justified in beating his wife when she neglects the children (%)</t>
  </si>
  <si>
    <t>SL.EMP.1524.SP.FE.NE.ZS</t>
  </si>
  <si>
    <t>Employment to population ratio, ages 15-24, female (%) (national estimate)</t>
  </si>
  <si>
    <t>SL.EMP.1524.SP.MA.NE.ZS</t>
  </si>
  <si>
    <t>Employment to population ratio, ages 15-24, male (%) (national estimate)</t>
  </si>
  <si>
    <t>SL.EMP.1524.SP.NE.ZS</t>
  </si>
  <si>
    <t>Employment to population ratio, ages 15-24, total (%) (national estimate)</t>
  </si>
  <si>
    <t>SL.EMP.TOTL.SP.FE.NE.ZS</t>
  </si>
  <si>
    <t>Employment to population ratio, 15+, female (%) (national estimate)</t>
  </si>
  <si>
    <t>SL.EMP.TOTL.SP.MA.NE.ZS</t>
  </si>
  <si>
    <t>Employment to population ratio, 15+, male (%) (national estimate)</t>
  </si>
  <si>
    <t>SL.EMP.TOTL.SP.NE.ZS</t>
  </si>
  <si>
    <t>Employment to population ratio, 15+, total (%) (national estimate)</t>
  </si>
  <si>
    <t>Unemployment refers to the share of the labor force that is without work but available for and seeking employment. Definitions of labor force and unemployment differ by country.</t>
  </si>
  <si>
    <t>Youth unemployment refers to the share of the labor force ages 15-24 without work but available for and seeking employment. Definitions of labor force and unemployment differ by country.</t>
  </si>
  <si>
    <t>Unemployment refers to the share of the labor force that is without work but available for and seeking employment.</t>
  </si>
  <si>
    <t>Youth unemployment refers to the share of the labor force ages 15-24 without work but available for and seeking employment.</t>
  </si>
  <si>
    <t>ISO certification ownership is the percentage of firms that have earned a quality certification recognized by the International Organization for Standardization (ISO).</t>
  </si>
  <si>
    <t>Time dealing with officials is the percentage of management time in a given week spent on requirements imposed by government regulations (taxes, customs, labor regulations, licensing and registration).</t>
  </si>
  <si>
    <t>Average number of times management met with tax officials is the average number of visits or required meetings with tax officials.</t>
  </si>
  <si>
    <t>MS.MIL.MPRT.KD</t>
  </si>
  <si>
    <t>MS.MIL.XPRT.KD</t>
  </si>
  <si>
    <t>Arms imports (SIPRI trend indicator values)</t>
  </si>
  <si>
    <t>Arms exports (SIPRI trend indicator values)</t>
  </si>
  <si>
    <t>Arms imports (constant 1990 US$)</t>
  </si>
  <si>
    <t>Arms exports (constant 1990 US$)</t>
  </si>
  <si>
    <t xml:space="preserve">Number of visits or required meetings with tax officials is the number of visits or required meetings with tax officials during the year.
</t>
  </si>
  <si>
    <t>Internationally-recognized quality certification (% of firms)</t>
  </si>
  <si>
    <t>Internationally-recognized quality certification is the percentage of firms having an internationally-recognized quality certification, i.e., International Organization for Standardization (ISO) 9000, 9002 or 14000.</t>
  </si>
  <si>
    <t>Time spent dealing with the requirements of government regulations is the proportion of senior management's time, in a typical week, that is spent dealing with the requirements imposed by government regulations (e.g., taxes, customs, labor regulations, licensing and registration, including dealings with officials, and completing forms).</t>
  </si>
  <si>
    <t>Note: The Labor &amp; Social Protection topic has been renamed Social Protection &amp; Labor.</t>
  </si>
  <si>
    <t>Education: Outcomes</t>
  </si>
  <si>
    <t>Social Protection &amp; Labor: Economic activity</t>
  </si>
  <si>
    <t>Social Protection &amp; Labor: Labor force structure</t>
  </si>
  <si>
    <t>Social Protection &amp; Labor: Unemployment</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</si>
  <si>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</si>
  <si>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</si>
  <si>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Domestic credit provided by the banking sector includes all credit to various sectors on a gross basis, with the exception of credit to the central government, which is net. The banking sector includes monetary authorities and deposit money banks, as well as other banking institutions where data are available (including institutions that do not accept transferable deposits but do incur such liabilities as time and savings deposits). Examples of other banking institutions are savings and mortgage loan institutions and building and loan associations.</t>
  </si>
  <si>
    <t>Percentage of women ages 15-49 who believe a husband/partner is justified in hitting or beating his wife/partner when she argues with him.</t>
  </si>
  <si>
    <t>Percentage of women ages 15-49 who believe a husband/partner is justified in hitting or beating his wife/partner when she burns the food.</t>
  </si>
  <si>
    <t>Percentage of women ages 15-49 who believe a husband/partner is justified in hitting or beating his wife/partner when she goes out without telling him.</t>
  </si>
  <si>
    <t>Percentage of women ages 15-49 who believe a husband/partner is justified in hitting or beating his wife/partner when she neglects the children.</t>
  </si>
  <si>
    <t>Percentage of women ages 15-49 who believe a husband/partner is justified in hitting or beating his wife/partner for any of the following five reasons: argues with him; refuses to have sex; burns the food; goes out without telling him; or when she neglects the children.</t>
  </si>
  <si>
    <t>Percentage of women ages 15-49 who believe a husband/partner is justified in hitting or beating his wife/partner when she refuses sex with him.</t>
  </si>
  <si>
    <t>Severe wasting prevalence is the proportion of children under five whose weight for height is more than three standard deviations below the median for the international reference population ages 0-59.</t>
  </si>
  <si>
    <t>Employment to population ratio is the proportion of a country's population that is employed. Ages 15-24 are generally considered the youth population.</t>
  </si>
  <si>
    <t>Employment to population ratio is the proportion of a country's population that is employed. Ages 15 and older are generally considered the working-age population.</t>
  </si>
  <si>
    <t>Demographic and Health Surveys (DHS) and Multiple Indicator Cluster Surveys (MICS)</t>
  </si>
  <si>
    <t>Lower secondary completion rate is the percentage of children who are completing the last year of lower secondary education. It is calculated by taking the total number of students in the last grade of lower secondary education, minus the number of repeaters in that grade, divided by the total number of children of official completion age.</t>
  </si>
  <si>
    <t>FS.AST.PRVT.GD.ZS</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</si>
  <si>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</si>
  <si>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Domestic credit to private sector refers to financial resources provided to the private sector, such as through loans, purchases of nonequity securities, and trade credits and other accounts receivable, that establish a claim for repayment. For some countries these claims include credit to public enterprises.</t>
  </si>
  <si>
    <t>9 April, 2014: Full update of development data to coincide with publication of the World Development Indicators 2014 book. New indicators include those for severe wasting, disaggregated by sex; and national estimates for labor force participation, ratios of employment to population, and unemployment. The topic Labor &amp; Social Protection has been renamed Social Protection &amp; Labor. Corrections have been made to constant price and purchasing power parity data for Armenia; constant price expenditure data for Nicaragua; and CO2 data for Palau. Constant price GDP and CPI data that are officially reported  by the National Statistics and Censuses Institute of Argentina have be restored. The International Monetary Fund has, however, issued a declaration of censure and called on Argentina to adopt remedial measures to address the quality of the official GDP and CPI data. Alternative data sources have shown significantly lower real growth and higher inflation than the official data since 2008. In this context, the World Bank is also using alternative data sources and estimates for the surveillance of macroeconomic developments in Argentina. National accounts data for Nigeria are based on official government statistics as of 1 February 2014. New estimates of nominal and constant GDP released by the Nigeria Bureau of Statistics on 6 April 2014 will be included in future editions of the WDI database.</t>
  </si>
  <si>
    <t>10 April, 2014: Corrections have been made to Federated States of Micronesia's land and surface area related data, and population density. Aggregates for these indicators have also been revised.</t>
  </si>
  <si>
    <t>11 April, 2014: Data for male and female long-term unemployment have been restored.</t>
  </si>
  <si>
    <t>14 April, 2014: National poverty estimates have been revised for Former Yugoslav Republic of Macedonia and Serbia.</t>
  </si>
  <si>
    <t>EN.ATM.CO2E.PP.GD.KD</t>
  </si>
  <si>
    <t>CO2 emissions (kg per 2011 PPP $ of GDP)</t>
  </si>
  <si>
    <t>EG.GDP.PUSE.KO.PP.KD</t>
  </si>
  <si>
    <t>GDP per unit of energy use (constant 2011 PPP $ per kg of oil equivalent)</t>
  </si>
  <si>
    <t>EG.USE.COMM.GD.PP.KD</t>
  </si>
  <si>
    <t>Energy use (kg of oil equivalent) per $1,000 GDP (constant 2011 PPP)</t>
  </si>
  <si>
    <t>NE.CON.PRVT.PP.KD</t>
  </si>
  <si>
    <t>Household final consumption expenditure, PPP (constant 2011 international $)</t>
  </si>
  <si>
    <t>NY.GDP.MKTP.PP.KD</t>
  </si>
  <si>
    <t>GDP, PPP (constant 2011 international $)</t>
  </si>
  <si>
    <t>NY.GDP.PCAP.PP.KD</t>
  </si>
  <si>
    <t>GDP per capita, PPP (constant 2011 international $)</t>
  </si>
  <si>
    <t>GNI, PPP (constant 2011 international $)</t>
  </si>
  <si>
    <t>GNI per capita, PPP (constant 2011 international $)</t>
  </si>
  <si>
    <t>CO2 emissions (kg per 2005 PPP $ of GDP)</t>
  </si>
  <si>
    <t>GDP per unit of energy use (constant 2005 PPP $ per kg of oil equivalent)</t>
  </si>
  <si>
    <t>Energy use (kg of oil equivalent) per $1,000 GDP (constant 2005 PPP)</t>
  </si>
  <si>
    <t>Household final consumption expenditure, PPP (constant 2005 international $)</t>
  </si>
  <si>
    <t>GDP, PPP (constant 2005 international $)</t>
  </si>
  <si>
    <t>GDP per capita, PPP (constant 2005 international $)</t>
  </si>
  <si>
    <t>GDP per unit of energy use is the PPP GDP per kilogram of oil equivalent of energy use. PPP GDP is gross domestic product converted to 2011 constant international dollars using purchasing power parity rates. An international dollar has the same purchasing power over GDP as a U.S. dollar has in the United States.</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</si>
  <si>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2011 constant international dollars using purchasing power parity rates. An international dollar has the same purchasing power over GDP as a U.S. dollar has in the United States.</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</si>
  <si>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Data are converted to constant 2011 international dollars using purchasing power parity rates.</t>
  </si>
  <si>
    <t>PPP GDP is gross domestic product converted to international dollars using purchasing power parity rates. An international dollar has the same purchasing power over GDP as the U.S. dollar has in the United States.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2011 international dollars.</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</si>
  <si>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2011 international dollars.</t>
  </si>
  <si>
    <t>PPP GNI (formerly PPP GNP) is gross national income (GNI) converted to international dollars using purchasing power parity rates. An international dollar has the same purchasing power over GNI as a U.S. dollar has in the United States. Gross national income is the sum of value added by all resident producers plus any product taxes (less subsidies) not included in the valuation of output plus net receipts of primary income (compensation of employees and property income) from abroad. Data are in constant 2011 international dollars.</t>
  </si>
  <si>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constant 2011 international dollars.</t>
  </si>
  <si>
    <t>GDP per unit of energy use is the PPP GDP per kilogram of oil equivalent of energy use. PPP GDP is gross domestic product converted to 2005 constant international dollars using purchasing power parity rates. An international dollar has the same purchasing power over GDP as a U.S. dollar has in the United States.</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</si>
  <si>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2005 constant international dollars using purchasing power parity rates. An international dollar has the same purchasing power over GDP as a U.S. dollar has in the United States.</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</si>
  <si>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Data are converted to constant 2005 international dollars using purchasing power parity rates.</t>
  </si>
  <si>
    <t>PPP GDP is gross domestic product converted to international dollars using purchasing power parity rates. An international dollar has the same purchasing power over GDP as the U.S. dollar has in the United States.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2005 international dollars.</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</si>
  <si>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2005 international dollars.</t>
  </si>
  <si>
    <t>PA.NUS.PPP.05</t>
  </si>
  <si>
    <t>2005 PPP conversion factor, GDP (LCU per international $)</t>
  </si>
  <si>
    <t>PA.NUS.PRVT.PP.05</t>
  </si>
  <si>
    <t>2005 PPP conversion factor, private consumption (LCU per international $)</t>
  </si>
  <si>
    <t>NE.CON.PRVT.PP.CD</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</si>
  <si>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Data are converted to current international dollars using purchasing power parity rates.</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</si>
  <si>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Data are converted to current international dollars using purchasing power parity rates based on the 2011 ICP round.</t>
  </si>
  <si>
    <t>NY.GDP.MKTP.PP.CD</t>
  </si>
  <si>
    <t>PPP GDP is gross domestic product converted to international dollars using purchasing power parity rates. An international dollar has the same purchasing power over GDP as the U.S. dollar has in the United States.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international dollars.</t>
  </si>
  <si>
    <t>NY.GDP.PCAP.PP.CD</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</si>
  <si>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international dollars.</t>
  </si>
  <si>
    <t>NY.GNP.PCAP.PP.CD</t>
  </si>
  <si>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current international dollars.</t>
  </si>
  <si>
    <t>PA.NUS.PPP</t>
  </si>
  <si>
    <t>PA.NUS.PPPC.RF</t>
  </si>
  <si>
    <t>PA.NUS.PRVT.PP</t>
  </si>
  <si>
    <t>Purchasing power parity conversion factor is the number of units of a country's currency required to buy the same amounts of goods and services in the domestic market as U.S. dollar would buy in the United States. This conversion factor is for GDP.</t>
  </si>
  <si>
    <t>Purchasing power parity conversion factor is the number of units of a country's currency required to buy the same amount of goods and services in the domestic market as a U.S. dollar would buy in the United States. The ratio of PPP conversion factor to market exchange rate is the result obtained by dividing the PPP conversion factor by the market exchange rate. The ratio, also referred to as the national price level, makes it possible to compare the cost of the bundle of goods that make up gross domestic product (GDP) across countries. It tells how many dollars are needed to buy a dollar's worth of goods in the country as compared to the United States.</t>
  </si>
  <si>
    <t>Purchasing power parity conversion factor is the number of units of a country's currency required to buy the same amounts of goods and services in the domestic market as U.S. dollar would buy in the United States. This conversion factor is for private consumption (i.e., household final consumption expenditure).</t>
  </si>
  <si>
    <t>Purchasing power parity conversion factor is the number of units of a country's currency required to buy the same amount of goods and services in the domestic market as a U.S. dollar would buy in the United States. The ratio of PPP conversion factor to market exchange rate is the result obtained by dividing the PPP conversion factor by the market exchange rate. The ratio, also referred to as the national price level, makes it possible to compare the cost of the bundle of goods that make up gross domestic product (GDP) across countries. It tells how many dollars are needed to buy a dollar's worth of goods in the country as compared to the United States. PPP conversion factors are based on the 2011 ICP round.</t>
  </si>
  <si>
    <t>PPP GDP is gross domestic product converted to international dollars using purchasing power parity rates. An international dollar has the same purchasing power over GDP as the U.S. dollar has in the United States.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international dollars. For most economies PPP figures are extrapolated from the 2011 International Comparison Program (ICP) benchmark estimates or imputed using a statistical model based on the 2011 ICP. For 47 high- and upper middle-income economies conversion factors are provided by Eurostat and the Organisation for Economic Co-operation and Development (OECD).</t>
  </si>
  <si>
    <t>PPP GNI (formerly PPP GNP) is gross national income (GNI) converted to international dollars using purchasing power parity rates. An international dollar has the same purchasing power over GNI as a U.S. dollar has in the United States. Gross national income is the sum of value added by all resident producers plus any product taxes (less subsidies) not included in the valuation of output plus net receipts of primary income (compensation of employees and property income) from abroad. Data are in current international dollars. For most economies PPP figures are extrapolated from the 2011 International Comparison Program (ICP) benchmark estimates or imputed using a statistical model based on the 2011 ICP. For 47 high- and upper middle-income economies conversion factors are provided by Eurostat and the Organisation for Economic Co-operation and Development (OECD).</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</si>
  <si>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international dollars based on the 2011 ICP round.</t>
  </si>
  <si>
    <t>GNI per capita based on purchasing power parity (PPP). PPP GNI is gross national income (GNI) converted to international dollars using purchasing power parity rates. An international dollar has the same purchasing power over GNI as a U.S. dollar has in the United States. GNI is the sum of value added by all resident producers plus any product taxes (less subsidies) not included in the valuation of output plus net receipts of primary income (compensation of employees and property income) from abroad. Data are in current international dollars based on the 2011 ICP round.</t>
  </si>
  <si>
    <t>Purchasing power parity conversion factor is the number of units of a country's currency required to buy the same amounts of goods and services in the domestic market as U.S. dollar would buy in the United States. This conversion factor is for GDP. For most economies PPP figures are extrapolated from the 2011 International Comparison Program (ICP) benchmark estimates or imputed using a statistical model based on the 2011 ICP. For 47 high- and upper middle-income economies conversion factors are provided by Eurostat and the Organisation for Economic Co-operation and Development (OECD).</t>
  </si>
  <si>
    <t>Purchasing power parity conversion factor is the number of units of a country's currency required to buy the same amounts of goods and services in the domestic market as U.S. dollar would buy in the United States. This conversion factor is for private consumption (i.e., household final consumption expenditure). For most economies PPP figures are extrapolated from the 2011 International Comparison Program (ICP) benchmark estimates or imputed using a statistical model based on the 2011 ICP. For 47 high- and upper middle-income economies conversion factors are provided by Eurostat and the Organisation for Economic Co-operation and Development (OECD).</t>
  </si>
  <si>
    <t>EG.GDP.PUSE.KO.PP</t>
  </si>
  <si>
    <t>GDP per unit of energy use is the PPP GDP per kilogram of oil equivalent of energy use. PPP GDP is gross domestic product converted to current international dollars using purchasing power parity rates based on the 2011 ICP round. An international dollar has the same purchasing power over GDP as a U.S. dollar has in the United States.</t>
  </si>
  <si>
    <t>GDP per unit of energy use is the PPP GDP per kilogram of oil equivalent of energy use. PPP GDP is gross domestic product converted to current international dollars using purchasing power parity rates. An international dollar has the same purchasing power over GDP as a U.S. dollar has in the United States.</t>
  </si>
  <si>
    <t>Purchasing power parity conversion factor is the number of units of a country's currency required to buy the same amounts of goods and services in the domestic market as U.S. dollar would buy in the United States. This conversion factor is for GDP. Historical estimates are provided for the 2005 benchmark year only. A separate series is available for extrapolated estimates based on the latest ICP round.</t>
  </si>
  <si>
    <t>Purchasing power parity conversion factor is the number of units of a country's currency required to buy the same amounts of goods and services in the domestic market as U.S. dollar would buy in the United States. This conversion factor is for private consumption (i.e., household final consumption expenditure). Historical estimates are provided for the 2005 benchmark year only. A separate series is available for extrapolated estimates based on the latest ICP round.</t>
  </si>
  <si>
    <t>SH.MMR.RISK</t>
  </si>
  <si>
    <t>WHO, UNICEF, UNFPA, The World Bank, and the United Nations Population Division. Trends in Maternal Mortality: 1990 to 2013. Geneva, World Health Organization, 2014</t>
  </si>
  <si>
    <t>6 May, 2014: Purchasing power parity (PPP) indicators have been revised based on the 2011 International Comparison Program (ICP) estimates released on April 30, 2014. Annual estimates from OECD and Eurostat have previously appeared in the WDI database; for other countries annual estimates are derived from the 2011 benchmark year through a simple extrapolation method that applies the relative rate of inflation observed in the country compared with the United States to the base year PPP estimates. Extrapolation for the GDP conversion factor uses the GDP implicit deflator. Extrapolation for private consumption uses the consumer price index. PPP data are now provided only from 1990, as the longer the time period between the estimate and the benchmark, the greater the risk of inaccuracy. This database update also features revised estimates for maternal mortality indicators from 1990 to 2013 from the Maternal Mortality Estimation Inter-Agency Group; revised life expectancy figures for Kazakhstan; updates for health expenditure and cause of death series; revised estimates for adjusted savings indicators; refined exchange rate and U.S. dollar conversions for euro area countries, along with corrections for Belarus, Estonia, Singapore and Republic of Yemen; revised national accounts data for Ethiopia and GNI corrections for Chad; corrected PM10 and metals depletion data for adjusted savings indicators; and national accounts revisions for Nigeria based on official government statistics released on 6 April, 2014. The new base year for Nigeria is 2010; and GDP estimates from 2010 to 2012 are 60 to 75 percent higher than previously reported.</t>
  </si>
  <si>
    <t>FP.CPI.TOTL</t>
  </si>
  <si>
    <t>Consumer price index (2010 = 100)</t>
  </si>
  <si>
    <t>FP.WPI.TOTL</t>
  </si>
  <si>
    <t>Wholesale price index (2010 = 100)</t>
  </si>
  <si>
    <t>Consumer price index (2005 = 100)</t>
  </si>
  <si>
    <t>Wholesale price index (2005 = 100)</t>
  </si>
  <si>
    <t>NY.ADJ.NNTY.PC.CD</t>
  </si>
  <si>
    <t>NY.ADJ.NNTY.PC.KD</t>
  </si>
  <si>
    <t>NY.ADJ.NNTY.PC.KD.ZG</t>
  </si>
  <si>
    <t>Adjusted net national income per capita (current US$)</t>
  </si>
  <si>
    <t>Adjusted net national income per capita (constant 2005 US$)</t>
  </si>
  <si>
    <t>Adjusted net national income per capita (annual % growth)</t>
  </si>
  <si>
    <t>1 July, 2014:  2013 data (plus revised historical data, where necessary) for all countries and groups for population-, GDP- and GNI-related indicators have been released. Other data that have been updated include balance of payments, government finance and monetary indicators, CPIA indicators, ICT indicators, military expenditure, air traffic, Enterprise Surveys, merchandise trade, homicides, and bilateral aid flows. Country classification hierarchies and group aggregate data reflect new fiscal year 2015 income classifications. Kyrgyz Republic and South Sudan have moved from low income to lower middle income. Two additional aggregate groups have been added: Fragile and conflict affected situations (FCS); and Central Europe and the Baltics (CEB).</t>
  </si>
  <si>
    <t>1. WHO. Global anemia prevalence and trends 1995-2011. Geneva: World Health Organization; forthcoming.  2. Stevens GA, Finucane MM, De-Regil LM, et al. Global, regional, and national trends in hemoglobin concentration and prevalence of total and severe anemia in children and pregnant and non-pregnant women for 1995-2011: a systematic analysis of population-representative data. The Lancet Global Health 2013; 1(1): e16-e25.</t>
  </si>
  <si>
    <t>22 July, 2014:  Updates have been made for adjusted savings indicators, PM10, natural resources rents, education aggregates, personal remittances, population density, and research and development indicators. Corrections have been made for Ecuador's and Peru's national accounts series, which also affect aggregate data (most notably 2013 growth rates for exports, imports, and consumption for Latin America and the Caribbean); and China's constant price series for services and consumption before the year 2000. Zimbabwe's monetary data for 2008 were removed due to data reliability issues. Constant price purchasing power parity data have been added for 2013.</t>
  </si>
  <si>
    <t>16 September, 2014: New child mortality data, including 2013 estimates, have been released.</t>
  </si>
  <si>
    <t>Price level ratio of PPP conversion factor (GDP) to market exchange rate</t>
  </si>
  <si>
    <t>PPP conversion factor (GDP) to market exchange rate ratio</t>
  </si>
  <si>
    <t>PX.REX.REER</t>
  </si>
  <si>
    <t>Real effective exchange rate index (2010 = 100)</t>
  </si>
  <si>
    <t>Real effective exchange rate index (2005 = 100)</t>
  </si>
  <si>
    <t>Antiretroviral therapy coverage (% of people living with HIV)</t>
  </si>
  <si>
    <t>Antiretroviral therapy coverage indicates the percentage of adults and children living with HIV currently receiving antiretroviral therapy among the estimated number of people needing antiretroviral therapy based on WHO 2010 guidelines.</t>
  </si>
  <si>
    <t>Antiretroviral therapy coverage indicates the percentage of all people living with HIV who are receiving antiretroviral therapy.</t>
  </si>
  <si>
    <t>SH.IMM.IDPT</t>
  </si>
  <si>
    <t>SH.IMM.MEAS</t>
  </si>
  <si>
    <t>WHO and UNICEF (http://www.who.int/immunization_monitoring/routine/en/).</t>
  </si>
  <si>
    <t>WHO and UNICEF (http://www.who.int/immunization/monitoring_surveillance/en/).</t>
  </si>
  <si>
    <t>SH.ANM.NPRG.ZS</t>
  </si>
  <si>
    <t>Prevalence of anemia among non-pregnant women (% of women ages 15-49)</t>
  </si>
  <si>
    <t>Prevalence of anemia, non-pregnant women, is the percentage of non-pregnant women whose hemoglobin level is less than 120 grams per liter at sea level.</t>
  </si>
  <si>
    <t>Food and Agriculture Organization, The State of Food Insecurity in the World (http://www.fao.org/economic/ess/ess-fs/ess-fadata/en/#.VByWLoHGXIg).</t>
  </si>
  <si>
    <t>Under-five mortality rate is the probability per 1,000 that a newborn baby will die before reaching age five, if subject to age-specific mortality rates of the specified year.</t>
  </si>
  <si>
    <t>Infant mortality rate, female is the number of female infants dying before reaching one year of age, per 1,000 female live births in a given year.</t>
  </si>
  <si>
    <t>Infant mortality rate, male is the number of male infants dying before reaching one year of age, per 1,000 male live births in a given year.</t>
  </si>
  <si>
    <t>Under-five mortality rate, female is the probability per 1,000 that a newborn female baby will die before reaching age five, if subject to female age-specific mortality rates of the specified year.</t>
  </si>
  <si>
    <t>Under-five mortality rate, male is the probability per 1,000 that a newborn male baby will die before reaching age five, if subject to male age-specific mortality rates of the specified year.</t>
  </si>
  <si>
    <t>24 September, 2014: Data have been updated for national accounts, balance of payments, government finance and monetary indicators, urban and rural population, HIV-related indicators, land use, fresh water, literacy, Enterprise Surveys, and private participation in infrastructure.</t>
  </si>
  <si>
    <t>SI.SPR.PC40.ZG</t>
  </si>
  <si>
    <t>SI.SPR.PCAP.ZG</t>
  </si>
  <si>
    <t>SI.SPR.PC40</t>
  </si>
  <si>
    <t>SI.SPR.PCAP</t>
  </si>
  <si>
    <t>Annualized growth in survey mean consumption or income per capita, bottom 40% (%, based on 2005 PPP)</t>
  </si>
  <si>
    <t>Annualized growth in survey mean consumption or income per capita, total population (%, based on 2005 PPP)</t>
  </si>
  <si>
    <t>Survey mean consumption or income per capita, bottom 40% (2005 PPP $ per day)</t>
  </si>
  <si>
    <t>Survey mean consumption or income per capita, total population (2005 PPP $ per day)</t>
  </si>
  <si>
    <t>Mean consumption or income per capita (2005 PPP $ per day) used in calculating the growth rate in the welfare aggregate of the bottom 40% of the population in the income distribution in a country.</t>
  </si>
  <si>
    <t>Mean consumption or income per capita (2005 PPP $ per day) used in calculating the growth rate in the welfare aggregate of total population.</t>
  </si>
  <si>
    <t>Source: World Bank, Global Database of Shared Prosperity (GDSP) circa 2006 - 2011.</t>
  </si>
  <si>
    <t>Poverty: Shared prosperity</t>
  </si>
  <si>
    <t xml:space="preserve">8 October, 2014: Four new shared prosperity indicators have been added that show the level and annualized growth of survey mean consumption or income per capita for the total population and the bottom 40%. Data have also been updated for malnutrition and poverty indicators. </t>
  </si>
  <si>
    <t>NV.MNF.CHEM.ZS.UN</t>
  </si>
  <si>
    <t>Value added in manufacturing is the sum of gross output less the value of intermediate inputs used in production for industries classified in ISIC major division 3. Chemicals comprise ISIC groups 351 and 352.</t>
  </si>
  <si>
    <t>Value added in manufacturing is the sum of gross output less the value of intermediate inputs used in production for industries classified in ISIC major division D. Chemicals correspond to ISIC division 24.</t>
  </si>
  <si>
    <t>NV.MNF.FBTO.ZS.UN</t>
  </si>
  <si>
    <t>Value added in manufacturing is the sum of gross output less the value of intermediate inputs used in production for industries classified in ISIC major division 3. Food, beverages, and tobacco comprise ISIC division 31.</t>
  </si>
  <si>
    <t>Value added in manufacturing is the sum of gross output less the value of intermediate inputs used in production for industries classified in ISIC major division D. Food, beverages, and tobacco correspond to ISIC divisions 15 and 16.</t>
  </si>
  <si>
    <t>NV.MNF.MTRN.ZS.UN</t>
  </si>
  <si>
    <t>Value added in manufacturing is the sum of gross output less the value of intermediate inputs used in production for industries classified in ISIC major division 3. Machinery and transport equipment comprise ISIC groups 382-84.</t>
  </si>
  <si>
    <t>Value added in manufacturing is the sum of gross output less the value of intermediate inputs used in production for industries classified in ISIC major division D. Machinery and transport equipment correspond to ISIC divisions 29, 30, 32, 34, and 35.</t>
  </si>
  <si>
    <t>NV.MNF.OTHR.ZS.UN</t>
  </si>
  <si>
    <t>Value added in manufacturing is the sum of gross output less the value of intermediate inputs used in production for industries classified in ISIC major division 3. Other manufacturing includes wood and related products (division 33), paper and paper-related products (division 34), petroleum and related products (groups 353-56), basic metals and mineral products (divisions 36 and 37), fabricated metal products and professional goods (groups 381 and 385), and other industries (group 390). Includes unallocated data. When data for textiles, machinery, or chemicals are shown as not available, they are included in other manufacturing.</t>
  </si>
  <si>
    <t>Value added in manufacturing is the sum of gross output less the value of intermediate inputs used in production for industries classified in ISIC major division D. Other manufacturing, a residual, covers wood and related products (ISIC division 20), paper and related products (ISIC divisions 21 and 22), petroleum and related products (ISIC division 23), basic metals and mineral products (ISIC division27), fabricated metal products and professional goods (ISIC division 28), and other industries (ISIC divisions 25, 26, 31, 33, 36, and 37). Includes unallocated data. When data for textiles, machinery, or chemicals are shown as not available, they are included in other manufacturing.</t>
  </si>
  <si>
    <t>NV.MNF.TXTL.ZS.UN</t>
  </si>
  <si>
    <t>Value added in manufacturing is the sum of gross output less the value of intermediate inputs used in production for industries classified in ISIC major division 3. Textiles and clothing comprise ISIC division 32.</t>
  </si>
  <si>
    <t>Value added in manufacturing is the sum of gross output less the value of intermediate inputs used in production for industries classified in ISIC major division D. Textiles and clothing correspond to ISIC divisions 17-19.</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</si>
  <si>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The final year of the growth period (T1) is defined as the most recent survey year no earlier than 2009. The initial year (T0) is defined as close to (T1 - 5) as possible, with a bandwidth of +/- 2 years; thus the gap between initial and final survey years ranges from 3 to 7 years. If two surveys are equidistant from (T1 - 5), all other things being equal, the more recent survey year is selected as T0. In the database, growth rates are assigned to the final year of the period used, i.e. T1.</t>
  </si>
  <si>
    <t>The growth rate in the welfare aggregate of total population is computed as the annualized average growth rate in per capita real consumption or income of total population from household surveys over a roughly 5-year period. The final year of the growth period (T1) is defined as the most recent survey year no earlier than 2009. The initial year (T0) is defined as close to (T1 - 5) as possible, with a bandwidth of +/- 2 years; thus the gap between initial and final survey years ranges from 3 to 7 years. If two surveys are equidistant from (T1 - 5), all other things being equal, the more recent survey year is selected as T0. In the database, growth rates are assigned to the final year of the period used, i.e. T1.</t>
  </si>
  <si>
    <t>17 October, 2014: Addiional updates to poverty and income distribution indicators have been published.</t>
  </si>
  <si>
    <t>Distance to frontier score (0=lowest performance to 100=frontier)</t>
  </si>
  <si>
    <t>IC.LGL.CRED.XQ</t>
  </si>
  <si>
    <t>IC.CRD.INFO.XQ</t>
  </si>
  <si>
    <t>Strength of legal rights index (0=weak to 10=strong)</t>
  </si>
  <si>
    <t>Credit depth of information index (0=low to 6=high)</t>
  </si>
  <si>
    <t>Poverty gap at national poverty line (%)</t>
  </si>
  <si>
    <t>Poverty gap at national poverty lines (%)</t>
  </si>
  <si>
    <t>Poverty headcount ratio at national poverty line (% of population)</t>
  </si>
  <si>
    <t>Poverty headcount ratio at national poverty lines (% of population)</t>
  </si>
  <si>
    <t>Poverty gap at rural poverty line (%)</t>
  </si>
  <si>
    <t>Rural poverty gap at national poverty lines (%)</t>
  </si>
  <si>
    <t>Poverty headcount ratio at rural poverty line (% of rural population)</t>
  </si>
  <si>
    <t>Rural poverty headcount ratio at national poverty lines (% of rural population)</t>
  </si>
  <si>
    <t>Poverty gap at urban poverty line (%)</t>
  </si>
  <si>
    <t>Urban poverty gap at national poverty lines (%)</t>
  </si>
  <si>
    <t>Poverty headcount ratio at urban poverty line (% of urban population)</t>
  </si>
  <si>
    <t>Urban poverty headcount ratio at national poverty lines (% of urban population)</t>
  </si>
  <si>
    <t>World Bank, Global Database of Shared Prosperity (GDSP) circa 2006 - 2011.</t>
  </si>
  <si>
    <t>World Bank, Global Database of Shared Prosperity (GDSP) circa 2006 - 2011 (http://www.worldbank.org/en/topic/poverty/brief/global-database-of-shared-prosperity).</t>
  </si>
  <si>
    <t>World Bank, Global Poverty Working Group. Data are compiled from official government sources or are computed by World Bank staff using national (i.e. country–specific) poverty lines.</t>
  </si>
  <si>
    <t>Strength of legal rights index (0=weak to 12=strong)</t>
  </si>
  <si>
    <t>Depth of credit information index (0=low to 8=high)</t>
  </si>
  <si>
    <t>Strength of legal rights index measures the degree to which collateral and bankruptcy laws protect the rights of borrowers and lenders and thus facilitate lending. The index ranges from 0 to 10, with higher scores indicating that these laws are better designed to expand access to credit.</t>
  </si>
  <si>
    <t>Credit depth of information index measures rules affecting the scope, accessibility, and quality of credit information available through public or private credit registries. The index ranges from 0 to 6, with higher values indicating the availability of more credit information, from either a public registry or a private bureau, to facilitate lending decisions.</t>
  </si>
  <si>
    <t>Poverty gap at national poverty line is the mean shortfall from the poverty line (counting the nonpoor as having zero shortfall) as a percentage of the poverty line. This measure reflects the depth of poverty as well as its incidence.</t>
  </si>
  <si>
    <t>National poverty rate is the percentage of the population living below the national poverty line. National estimates are based on population-weighted subgroup estimates from household surveys.</t>
  </si>
  <si>
    <t>Poverty gap at rural poverty line is the mean shortfall from the poverty line (counting the nonpoor as having zero shortfall) as a percentage of the national rural poverty line. This measure reflects the depth of poverty as well as its incidence.</t>
  </si>
  <si>
    <t>Rural poverty rate is the percentage of the rural population living below the national rural poverty line.</t>
  </si>
  <si>
    <t>Poverty gap at urban poverty line is the mean shortfall from the poverty line (counting the nonpoor as having zero shortfall) as a percentage of the national urban poverty line. This measure reflects the depth of poverty as well as its incidence.</t>
  </si>
  <si>
    <t>Urban poverty rate is the percentage of the urban population living below the national urban poverty line.</t>
  </si>
  <si>
    <t>Strength of legal rights index measures the degree to which collateral and bankruptcy laws protect the rights of borrowers and lenders and thus facilitate lending. The index ranges from 0 to 12, with higher scores indicating that these laws are better designed to expand access to credit.</t>
  </si>
  <si>
    <t>Poverty gap at national poverty lines is the mean shortfall from the poverty lines (counting the nonpoor as having zero shortfall) as a percentage of the poverty lines. This measure reflects the depth of poverty as well as its incidence.</t>
  </si>
  <si>
    <t>National poverty headcount ratio is the percentage of the population living below the national poverty lines. National estimates are based on population-weighted subgroup estimates from household surveys.</t>
  </si>
  <si>
    <t>Rural poverty headcount ratio is the percentage of the rural population living below the national poverty lines.</t>
  </si>
  <si>
    <t>Urban poverty headcount ratio is the percentage of the urban population living below the national poverty lines.</t>
  </si>
  <si>
    <t>Rural poverty gap at national poverty lines is the rural population's mean shortfall from the poverty lines (counting the nonpoor as having zero shortfall) as a percentage of the poverty lines. This measure reflects the depth of poverty as well as its incidence.</t>
  </si>
  <si>
    <t>Urban poverty gap at national poverty lines is the urban population's mean shortfall from the poverty lines (counting the nonpoor as having zero shortfall) as a percentage of the poverty lines. This measure reflects the depth of poverty as well as its incidence.</t>
  </si>
  <si>
    <t>Depth of credit information index measures rules affecting the scope, accessibility, and quality of credit information available through public or private credit registries. The index ranges from 0 to 8, with higher values indicating the availability of more credit information, from either a public registry or a private bureau, to facilitate lending decisions.</t>
  </si>
  <si>
    <t>Distance to frontier score illustrates the distance of an economy to the "frontier," which represents the best performance observed on each Doing Business topic across all economies and years included since 2005. An economy's distance to frontier is indicated on a scale from 0 to 100, where 0 represents the lowest performance and 100 the frontier. For example, a score of 75 in 2012 means an economy was 25 percentage points away from the frontier constructed from the best performances across all economies and across time. A score of 80 in 2013 would indicate the economy is improving.</t>
  </si>
  <si>
    <t>6 November, 2014: Additional updates to poverty and income distribution have been published, along with name and metadata changes for urban and rural poverty indicators. Data have been updated for Doing Business indicators, including new figures for 2014; methodology changes have been introduced for strength of legal rights index and depth of credit information index. 2014 data are also available for logistics performance indicators, threatened species, and average annual precipitation. Freshwater series have been updated for 2013. Corrections have been made to Argentina's GNI, gross national savings, and adjusted savings series, which also affect aggregate data; minor national accounts updates for Argentina for 2013 since September have also been included. Aggregate data for charges for the use of intellectual property for 2013 have been removed due to insufficient country-level data.</t>
  </si>
  <si>
    <t>IQ.SCI.OVRL</t>
  </si>
  <si>
    <t>Overall level of statistical capacity (scale 0 - 100)</t>
  </si>
  <si>
    <t>IQ.SCI.PRDC</t>
  </si>
  <si>
    <t>Periodicity and timeliness assessment of statistical capacity (scale 0 - 100)</t>
  </si>
  <si>
    <t>IQ.SCI.SRCE</t>
  </si>
  <si>
    <t>Source data assessment of statistical capacity (scale 0 - 100)</t>
  </si>
  <si>
    <t>IQ.SCI.MTHD</t>
  </si>
  <si>
    <t>Methodology assessment of statistical capacity (scale 0 - 100)</t>
  </si>
  <si>
    <t>EE.BOD.WRKR.KG</t>
  </si>
  <si>
    <t>Water pollution, clay and glass industry (% of total BOD emissions)</t>
  </si>
  <si>
    <t>Water pollution, chemical industry (% of total BOD emissions)</t>
  </si>
  <si>
    <t>Water pollution, food industry (% of total BOD emissions)</t>
  </si>
  <si>
    <t>Water pollution, metal industry (% of total BOD emissions)</t>
  </si>
  <si>
    <t>Water pollution, other industry (% of total BOD emissions)</t>
  </si>
  <si>
    <t>Water pollution, paper and pulp industry (% of total BOD emissions)</t>
  </si>
  <si>
    <t>Organic water pollutant (BOD) emissions (kg per day)</t>
  </si>
  <si>
    <t>Water pollution, textile industry (% of total BOD emissions)</t>
  </si>
  <si>
    <t>Water pollution, wood industry (% of total BOD emissions)</t>
  </si>
  <si>
    <t>Organic water pollutant (BOD) emissions (kg per day per worker)</t>
  </si>
  <si>
    <t>NY.GNY.TOTL.KN</t>
  </si>
  <si>
    <t>Gross national income (constant LCU)</t>
  </si>
  <si>
    <t>per_allsp.cov_pop_tot</t>
  </si>
  <si>
    <t>per_si_allsi.cov_pop_tot</t>
  </si>
  <si>
    <t>per_sa_allsa.cov_pop_tot</t>
  </si>
  <si>
    <t>per_lm_alllm.cov_pop_tot</t>
  </si>
  <si>
    <t>per_allsp.ben_q1_tot</t>
  </si>
  <si>
    <t>per_si_allsi.ben_q1_tot</t>
  </si>
  <si>
    <t>per_sa_allsa.ben_q1_tot</t>
  </si>
  <si>
    <t>per_lm_alllm.ben_q1_tot</t>
  </si>
  <si>
    <t>per_allsp.adq_pop_tot</t>
  </si>
  <si>
    <t>per_si_allsi.adq_pop_tot</t>
  </si>
  <si>
    <t>per_sa_allsa.adq_pop_tot</t>
  </si>
  <si>
    <t>per_lm_alllm.adq_pop_tot</t>
  </si>
  <si>
    <t>Adequacy of social insurance programs (% of total welfare of beneficiary households)</t>
  </si>
  <si>
    <t>Adequacy of social protection and labor programs (% of total welfare of beneficiary households)</t>
  </si>
  <si>
    <t>Adequacy of social safety net programs (% of total welfare of beneficiary households)</t>
  </si>
  <si>
    <t>Adequacy of unemployment benefits and ALMP (% of total welfare of beneficiary households)</t>
  </si>
  <si>
    <t>EN.ATM.PM25.MC.M3</t>
  </si>
  <si>
    <t>PM2.5 pollution, mean annual exposure (micrograms per cubic meter)</t>
  </si>
  <si>
    <t>EN.ATM.PM25.MC.ZS</t>
  </si>
  <si>
    <t>PM2.5 pollution, population exposed to levels exceeding WHO guideline value (% of total)</t>
  </si>
  <si>
    <t>EN.ATM.PM10.MC.M3</t>
  </si>
  <si>
    <t>PM10, country level (micrograms per cubic meter)</t>
  </si>
  <si>
    <t>GINI index</t>
  </si>
  <si>
    <t>SH.TBS.CURE.ZS</t>
  </si>
  <si>
    <t>Tuberculosis treatment success rate (% of registered cases)</t>
  </si>
  <si>
    <t>Tuberculosis treatment success rate (% of new cases)</t>
  </si>
  <si>
    <t>Primary income on FDI, payments (current US$)</t>
  </si>
  <si>
    <t>World Bank, Development Research Group. Data are based on primary household survey data obtained from government statistical agencies and World Bank country departments. For more information and methodology, please see PovcalNet (http://iresearch.worldbank.org/PovcalNet/index.htm).</t>
  </si>
  <si>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</si>
  <si>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</si>
  <si>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Adequacy of social safety net programs is measured by the total transfer amount received by the population participating in social safety net programs as a share of their total welfare. Welfare is defined as the total income or total expenditure of beneficiary households.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</si>
  <si>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Adequacy of unemployment benefits and active labor market programs (ALMP) is measured by the total transfer amount received by the population participating in unemployment benefits and active labor market programs as a share of their total welfare. Welfare is defined as the total income or total expenditure of beneficiary households.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</si>
  <si>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Population-weighted exposure to ambient PM2.5 pollution is defined as the average level of exposure of a nation's population to concentrations of suspended particulates measuring less than 2.5 microns in diameter, which are capable of penetrating deep into the respiratory tract and causing severe health damage.  Exposure is calculated by weighting mean annual concentrations of PM2.5 by population in both urban and rural areas.</t>
  </si>
  <si>
    <t>Data are provided by the Institute for Health Metrics and Evaluation at the University of Washington. See Brauer, M. Amman, R.T. Burnett, A. Cohen, F. Dentener, M. Ezzati, S.B. Henderson, M. Krzyzanowski, R.V. Martin, R. Van Dingenen, A. van Donkelaar, and G.D. Thurston, “Exposure Assessment for Estimation of the Global Burden of Disease Attributable to Outdoor Air Pollution,” Environmental Science &amp; Technology 46 (2012), doi: 10.1021/es2025752.</t>
  </si>
  <si>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</si>
  <si>
    <t xml:space="preserve">The Statistical Capacity Indicator is a composite score assessing the capacity of a country’s statistical system. It is based on a diagnostic framework assessing the following areas: methodology; data sources; and periodicity and timeliness. Countries are scored against 25 criteria in these areas, using publicly available information and/or country input. The overall Statistical Capacity score is then being calculated as simple average of all three area scores on a scale of 0-100. </t>
  </si>
  <si>
    <t xml:space="preserve">Periodicity and timeliness indicator looks at the availability and periodicity of key socioeconomic indicators. This dimension attempts to measure the extent to which data are made accessible to users through transformation of source data into timely statistical outputs. </t>
  </si>
  <si>
    <t>Source data indicator reflects whether a country conducts data collection activities in line with internationally recommended periodicity, and whether data from administrative systems are available and reliable for statistical estimation purposes.</t>
  </si>
  <si>
    <t xml:space="preserve">Statistical methodology indicator measures a country’s ability to adhere to internationally recommended standards and methods. </t>
  </si>
  <si>
    <t>SL.UEM.NEET.FE.ZS</t>
  </si>
  <si>
    <t>SL.UEM.NEET.MA.ZS</t>
  </si>
  <si>
    <t>SL.UEM.NEET.ZS</t>
  </si>
  <si>
    <t>Share of youth not in education, employment or training, female (% of female youth population)</t>
  </si>
  <si>
    <t>Share of youth not in education, employment or training, male (% of male youth population)</t>
  </si>
  <si>
    <t>Share of youth not in education, employment or training, total (% of youth population)</t>
  </si>
  <si>
    <t>GINI index (World Bank estimate)</t>
  </si>
  <si>
    <t>Tuberculosis treatment success rate is the percentage of new, registered smear-positive (infectious) cases that were cured or in which a full course of treatment was completed.</t>
  </si>
  <si>
    <t>Tuberculosis case detection rate (all forms) is the percentage of newly notified tuberculosis cases (including relapses) to estimated incident cases (case detection, all forms).</t>
  </si>
  <si>
    <t>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t>
  </si>
  <si>
    <t>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t>
  </si>
  <si>
    <t>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t>
  </si>
  <si>
    <t>SE.PRM.CMPT.FE.ZS</t>
  </si>
  <si>
    <t>SE.PRM.CMPT.MA.ZS</t>
  </si>
  <si>
    <t>SE.PRM.CMPT.ZS</t>
  </si>
  <si>
    <t>Primary completion rate is the percentage of students completing the last year of primary school. It is calculated by taking the total number of students in the last grade of primary school, minus the number of repeaters in that grade, divided by the total number of children of official graduation age.</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</si>
  <si>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</si>
  <si>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Primary completion rate is measured as the gross intake ratio to the last grade of primary education. It is calculated by taking the total number of students in the last grade of primary school, minus the number of repeaters in that grade, divided by the total number of children of official graduation age.</t>
  </si>
  <si>
    <t>World Bank, Bulletin Board on Statistical Capacity (http://bbsc.worldbank.org).</t>
  </si>
  <si>
    <t>Share of youth not in education, employment or training (NEET) is the proportion of young people who are not in education, employment, or training  to the population of the corresponding age group: youth (ages 15 to 24); persons ages 15 to 29; or both age groups.</t>
  </si>
  <si>
    <t>EG.ELC.ACCS.UR.ZS</t>
  </si>
  <si>
    <t>EG.ELC.ACCS.RU.ZS</t>
  </si>
  <si>
    <t>EG.NSF.ACCS.ZS</t>
  </si>
  <si>
    <t>EG.NSF.ACCS.UR.ZS</t>
  </si>
  <si>
    <t>EG.NSF.ACCS.RU.ZS</t>
  </si>
  <si>
    <t>Access to electricity, urban (% of population)</t>
  </si>
  <si>
    <t>Access to electricity, rural (% of population)</t>
  </si>
  <si>
    <t>World Bank, Sustainable Energy for all (SE4ALL) database from World Bank, Global Electrification database.</t>
  </si>
  <si>
    <t>World Bank, Sustainable Energy for all (SE4ALL) database from WHO Global Household Energy database.</t>
  </si>
  <si>
    <t>World Bank, Sustainable Energy for All (SE4ALL) database from World Bank, Global Electrification database.</t>
  </si>
  <si>
    <t>Access to electricity is the percentage of population with access to electricity.</t>
  </si>
  <si>
    <t>Access to electricity, rural is the percentage of rural population with access to electricity.</t>
  </si>
  <si>
    <t>Access to electricity, urban is the percentage of urban population with access to electricity.</t>
  </si>
  <si>
    <t>Access to non-solid fuel is the percentage of population with access to non-solid fuel.</t>
  </si>
  <si>
    <t>Access to non-solid fuel, urban is the percentage of urban population with access to non-solid fuel.</t>
  </si>
  <si>
    <t>Access to non-solid fuel, rural is the percentage of rural population with access to non-solid fuel.</t>
  </si>
  <si>
    <t>Access to non-solid fuel (% of households)</t>
  </si>
  <si>
    <t>Access to non-solid fuel, urban (% of households)</t>
  </si>
  <si>
    <t>Access to non-solid fuel, rural (% of households)</t>
  </si>
  <si>
    <t>16 December, 2014: This release features new external debt data from the International Debt Statistics database, and revised national accounts, PPP, balance of payments, monetary and government finance indicators, labor series, and trade indexes and trade facilitation indicators. Corrections have been made to China's historical GDP growth rate series before the year 2000. New series have been added for statistical capacity building, unemployment, particulate matter, and access to electricity and non-solid fuel. The latter indicators are now sourced from the World Bank's Sustainable Energy for All database. Water pollution indicators, which were from a research data set no longer being maintained, have been removed.</t>
  </si>
  <si>
    <t>19 December, 2014: Balance of payments and present value of debt data for 2013 have been updated.</t>
  </si>
  <si>
    <t>Ratio of female to male tertiary enrollment is the percentage of women to men enrolled at tertiary level in public and private schools.</t>
  </si>
  <si>
    <t>30 January, 2015: Telecommunications data from ITU have been updated, along with data for preprimary enrollment and lower secondary completion rates, and grants data for 2013. Corrections and revisions have been made to data for internal water resources and nationally protected areas. Data related to GNI and net income from abroad for Timor-Leste and Chad have also been corrected.</t>
  </si>
  <si>
    <t>12 March, 2015: National accounts data have been corrected and revised for Bahrain, Israel, Kuwait, and Oman (local currency values, all years; with minor adjustments to purchasing power parity values); Kenya (constant values and growth rates, 1960-61); Mauritania (constant values and growth rates, 1960-93; and services value added); and Argentina (restoration of previously published current price values from 1994 to 2003). Other corrections include purchasing power parity household consumption data for Denmark, Germany, Spain, and aggregates from 1990 to 2002; and remittances data for Timor-Leste and aggregates for 2013. Debt to export ratios have been updated for 2013; and aggregates for statistical capacity indicators have been revised. Indicators sourced from the International Road Federation have been removed pending a review of their licensing agreement.</t>
  </si>
  <si>
    <t>IS.ROD.DNST.K2</t>
  </si>
  <si>
    <t>Road density (km of road per 100 sq. km of land area)</t>
  </si>
  <si>
    <t>Removed pending review of licensing agreement.</t>
  </si>
  <si>
    <t>IS.ROD.GOOD.MT.K6</t>
  </si>
  <si>
    <t>Roads, goods transported (million ton-km)</t>
  </si>
  <si>
    <t>IS.ROD.PAVE.ZS</t>
  </si>
  <si>
    <t>Roads, paved (% of total roads)</t>
  </si>
  <si>
    <t>IS.ROD.PSGR.K6</t>
  </si>
  <si>
    <t>Roads, passengers carried (million passenger-km)</t>
  </si>
  <si>
    <t>IS.ROD.TOTL.KM</t>
  </si>
  <si>
    <t>Roads, total network (km)</t>
  </si>
  <si>
    <t>IS.VEH.NVEH.P3</t>
  </si>
  <si>
    <t>Motor vehicles (per 1,000 people)</t>
  </si>
  <si>
    <t>IS.VEH.PCAR.P3</t>
  </si>
  <si>
    <t>Passenger cars (per 1,000 people)</t>
  </si>
  <si>
    <t>IS.VEH.ROAD.K1</t>
  </si>
  <si>
    <t>Vehicles (per km of road)</t>
  </si>
  <si>
    <t>SL.FAM.0714.FE.ZS</t>
  </si>
  <si>
    <t>SL.FAM.0714.MA.ZS</t>
  </si>
  <si>
    <t>SL.SLF.0714.FE.ZS</t>
  </si>
  <si>
    <t>SL.SLF.0714.MA.ZS</t>
  </si>
  <si>
    <t>SL.WAG.0714.FE.ZS</t>
  </si>
  <si>
    <t>SL.WAG.0714.MA.ZS</t>
  </si>
  <si>
    <t>SL.TLF.0714.SW.FE.TM</t>
  </si>
  <si>
    <t>SL.TLF.0714.SW.MA.TM</t>
  </si>
  <si>
    <t>SL.TLF.0714.SW.TM</t>
  </si>
  <si>
    <t>SL.TLF.0714.WK.FE.TM</t>
  </si>
  <si>
    <t>SL.TLF.0714.WK.MA.TM</t>
  </si>
  <si>
    <t>SL.TLF.0714.WK.TM</t>
  </si>
  <si>
    <t>SE.XPD.MPRM.ZS</t>
  </si>
  <si>
    <t>SE.XPD.MSEC.ZS</t>
  </si>
  <si>
    <t>SE.XPD.MTER.ZS</t>
  </si>
  <si>
    <t>SE.XPD.MTOT.ZS</t>
  </si>
  <si>
    <t>SE.XPD.CPRM.ZS</t>
  </si>
  <si>
    <t>SE.XPD.CSEC.ZS</t>
  </si>
  <si>
    <t>SE.XPD.CTER.ZS</t>
  </si>
  <si>
    <t>SE.XPD.CTOT.ZS</t>
  </si>
  <si>
    <t>Children in employment, self-employed, male (% of male children in employment, ages 7-14)</t>
  </si>
  <si>
    <t>Children in employment, wage workers, male (% of male children in employment, ages 7-14)</t>
  </si>
  <si>
    <t>Average working hours of children, study and work, female, ages 7-14 (hours per week)</t>
  </si>
  <si>
    <t>Average working hours of children, study and work, male, ages 7-14 (hours per week)</t>
  </si>
  <si>
    <t>Average working hours of children, study and work, ages 7-14 (hours per week)</t>
  </si>
  <si>
    <t>Average working hours of children, working only, female, ages 7-14 (hours per week)</t>
  </si>
  <si>
    <t>Average working hours of children, working only, male, ages 7-14 (hours per week)</t>
  </si>
  <si>
    <t>Average working hours of children, working only, ages 7-14 (hours per week)</t>
  </si>
  <si>
    <t>IC.FRM.BRIB.ZS</t>
  </si>
  <si>
    <t>IC.FRM.BKWC.ZS</t>
  </si>
  <si>
    <t xml:space="preserve">Firms using banks to finance working capital (% of firms) </t>
  </si>
  <si>
    <t>Bribery incidence (% of firms experiencing at least one bribe payment request)</t>
  </si>
  <si>
    <t>DC.DAC.POLL.CD</t>
  </si>
  <si>
    <t>DC.DAC.SVKL.CD</t>
  </si>
  <si>
    <t>DC.DAC.SVNL.CD</t>
  </si>
  <si>
    <t>Net bilateral aid flows from DAC donors, Poland (current US$)</t>
  </si>
  <si>
    <t>Net bilateral aid flows from DAC donors, Slovak Republic (current US$)</t>
  </si>
  <si>
    <t>Net bilateral aid flows from DAC donors, Slovenia (current US$)</t>
  </si>
  <si>
    <t>Trademark applications, aggregate direct</t>
  </si>
  <si>
    <t>Trademark applications, Madrid</t>
  </si>
  <si>
    <t>Net official development assistance and official aid received (constant 2012 US$)</t>
  </si>
  <si>
    <t>Net official aid received (constant 2012 US$)</t>
  </si>
  <si>
    <t>Net official development assistance received (constant 2012 US$)</t>
  </si>
  <si>
    <t>SE.XPD.PRIM.ZS</t>
  </si>
  <si>
    <t>Expenditure on primary education (% of government expenditure on education)</t>
  </si>
  <si>
    <t>SE.XPD.SECO.ZS</t>
  </si>
  <si>
    <t>Expenditure on secondary education (% of government expenditure on education)</t>
  </si>
  <si>
    <t>SE.XPD.TERT.ZS</t>
  </si>
  <si>
    <t>Expenditure on tertiary education (% of government expenditure on education)</t>
  </si>
  <si>
    <t>SE.XPD.PRIM.PC.ZS</t>
  </si>
  <si>
    <t>Government expenditure per student, primary (% of GDP per capita)</t>
  </si>
  <si>
    <t>SE.XPD.SECO.PC.ZS</t>
  </si>
  <si>
    <t>Government expenditure per student, secondary (% of GDP per capita)</t>
  </si>
  <si>
    <t>SE.XPD.TERT.PC.ZS</t>
  </si>
  <si>
    <t>Government expenditure per student, tertiary (% of GDP per capita)</t>
  </si>
  <si>
    <t>SE.XPD.TOTL.GB.ZS</t>
  </si>
  <si>
    <t>SE.XPD.TOTL.GD.ZS</t>
  </si>
  <si>
    <t>Government expenditure on education, total (% of GDP)</t>
  </si>
  <si>
    <t>Tertiary education, academic staff (% female)</t>
  </si>
  <si>
    <t>SE.SEC.AGES</t>
  </si>
  <si>
    <t>Lower secondary school starting age (years)</t>
  </si>
  <si>
    <t>Health expenditure per capita, PPP (constant 2011 international $)</t>
  </si>
  <si>
    <t>Expenditure per student, primary (% of GDP per capita)</t>
  </si>
  <si>
    <t>Expenditure per student, secondary (% of GDP per capita)</t>
  </si>
  <si>
    <t>Expenditure per student, tertiary (% of GDP per capita)</t>
  </si>
  <si>
    <t>Public spending on education, total (% of government expenditure)</t>
  </si>
  <si>
    <t>Public spending on education, total (% of GDP)</t>
  </si>
  <si>
    <t>Secondary school starting age (years)</t>
  </si>
  <si>
    <t>Health expenditure per capita, PPP (constant 2005 international $)</t>
  </si>
  <si>
    <t>Current education expenditure, primary (% of total expenditure in primary public institutions)</t>
  </si>
  <si>
    <t>Current education expenditure, secondary (% of total expenditure in secondary public institutions)</t>
  </si>
  <si>
    <t>Current education expenditure, tertiary (% of total expenditure in tertiary public institutions)</t>
  </si>
  <si>
    <t>Current education expenditure, total (% of total expenditure in public institutions)</t>
  </si>
  <si>
    <t>All education staff compensation, primary (% of total expenditure in primary public institutions)</t>
  </si>
  <si>
    <t>All education staff compensation, secondary (% of total expenditure in secondary public institutions)</t>
  </si>
  <si>
    <t>All education staff compensation, tertiary (% of total expenditure in tertiary public institutions)</t>
  </si>
  <si>
    <t>All education staff compensation, total (% of total expenditure in public institutions)</t>
  </si>
  <si>
    <t>Government expenditure on education, total (% of government expenditure)</t>
  </si>
  <si>
    <t>IC.BUS.DFRN.XQ</t>
  </si>
  <si>
    <t>The Statistical Capacity Indicator is a composite score assessing the capacity of a country’s statistical system. It is based on a diagnostic framework assessing the following areas: methodology; data sources; and periodicity and timeliness. Countries are scored against 25 criteria in these areas, using publicly available information and/or country input. The overall Statistical Capacity score is then calculated as a simple average of all three area scores on a scale of 0-100.</t>
  </si>
  <si>
    <t>The Statistical Capacity Indicator is a composite score assessing the capacity of a country’s statistical system. It is based on a diagnostic framework assessing the following areas: methodology; data sources; and periodicity and timeliness. Countries are scored against 25 criteria in these areas, using publicly available information and/or country input. The overall Statistical Capacity score is then being calculated as simple average of all three area scores on a scale of 0-100.</t>
  </si>
  <si>
    <t>The periodicity and timeliness indicator assesses the availability and periodicity of key socioeconomic indicators. It measures the extent to which data are made accessible to users through transformation of source data into timely statistical outputs. The periodicity score is calculated as the weighted average of 10 underlying indicator scores. The final periodicity score contributes 1/3 of the overall Statistical Capacity Indicator score.</t>
  </si>
  <si>
    <t>The source data indicator reflects whether a country conducts data collection activities in line with internationally recommended periodicity, and whether data from administrative systems are available. The source data score is calculated as the weighted average of 5 underlying indicator scores. The final source data score contributes 1/3 of the overall Statistical Capacity Indicator score.</t>
  </si>
  <si>
    <t>The methodology indicator measures a country’s ability to adhere to internationally recommended standards and methods. The methodology score is calculated as the weighted average of 10 underlying indicator scores. The final methodology score contributes 1/3 of the overall Statistical Capacity Indicator score.</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</si>
  <si>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Iceland, Ireland, Italy, Japan, Republic of Korea, Luxembourg, Netherlands, New Zealand, Norway, Poland, Portugal, Slovak Republic, Slovenia, Spain, Sweden, Switzerland, United Kingdom, United States, and European Union Institutions. Regional aggregates include data for economies not specified elsewhere. World and income group totals include aid not allocated by country or region. Data are in current U.S. dollars.</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</si>
  <si>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</si>
  <si>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Expenditure on primary education is expressed as a percentage of total general government expenditure on education. General government usually refers to local, regional and central governments.</t>
  </si>
  <si>
    <t>Expenditure on secondary education is expressed as a percentage of total general government expenditure on education. General government usually refers to local, regional and central governments.</t>
  </si>
  <si>
    <t>Expenditure on tertiary education is expressed as a percentage of total general government expenditure on education. General government usually refers to local, regional and central governments.</t>
  </si>
  <si>
    <t>Average working hours of children studying and working refer to the average weekly working hours of those children who are attending school in combination with economic activity.</t>
  </si>
  <si>
    <t>Average working hours of children working only refers to the average weekly working hours of those children who are involved in economic activity and not attending school.</t>
  </si>
  <si>
    <t>All staff (teacher and non-teachers) compensation is expressed as a percentage of direct expenditure in public educational institutions (instructional and non-instructional) of the specified level of education. Financial aid to students and other transfers are excluded from direct expenditure. Staff compensation includes salaries, contributions by employers for staff retirement programs, and other allowances and benefits.</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</si>
  <si>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2012 U.S. dollars.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</si>
  <si>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2012 U.S. dollars.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</si>
  <si>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2012 U.S. dollars.</t>
  </si>
  <si>
    <t>IT.CEL.SETS</t>
  </si>
  <si>
    <t>IT.CEL.SETS.P2</t>
  </si>
  <si>
    <t>IT.MLT.MAIN</t>
  </si>
  <si>
    <t>IT.MLT.MAIN.P2</t>
  </si>
  <si>
    <t>IT.NET.BBND</t>
  </si>
  <si>
    <t>IT.NET.BBND.P2</t>
  </si>
  <si>
    <t>Mobile cellular telephone subscriptions are subscriptions to a public mobile telephone service using cellular technology, which provide access to the public switched telephone network. Post-paid and prepaid subscriptions are included.</t>
  </si>
  <si>
    <t>Telephone lines are fixed telephone lines that connect a subscriber's terminal equipment to the public switched telephone network and that have a port on a telephone exchange. Integrated services digital network channels ands fixed wireless subscribers are included.</t>
  </si>
  <si>
    <t>Fixed broadband Internet subscribers are the number of broadband subscribers with a digital subscriber line, cable modem, or other high-speed technology.</t>
  </si>
  <si>
    <t>Fixed (wired) broadband subscriptions refers to subscriptions to high-speed access to the public Internet (a TCP/IP connection), at downstream speeds equal to, or greater than, 256 kbit/s. This includes cable modem, DSL, fiber-to-the-home/building and other fixed (wired)-broadband subscriptions. This total is measured irrespective of the method of payment. It excludes subscriptions that have access to data communications (including the Internet) via mobile-cellular networks. It excludes technologies listed under the wireless broadband category.</t>
  </si>
  <si>
    <t>Fixed telephone subscriptions</t>
  </si>
  <si>
    <t>Fixed telephone subscriptions (per 100 people)</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</si>
  <si>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</si>
  <si>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Fixed telephone subscriptions refers to the sum of active number of analogue fixed telephone lines, voice-over-IP (VoIP) subscriptions, fixed wireless local loop (WLL) subscriptions, ISDN voice-channel equivalents and fixed public payphones.</t>
  </si>
  <si>
    <t>Fixed broadband Internet subscribers</t>
  </si>
  <si>
    <t>Fixed broadband Internet subscribers (per 100 people)</t>
  </si>
  <si>
    <t>Fixed (wired) broadband subscriptions</t>
  </si>
  <si>
    <t>Fixed (wired) broadband subscriptions (per 100 people)</t>
  </si>
  <si>
    <t>SE.PRM.NENR</t>
  </si>
  <si>
    <t>SE.PRM.NENR.FE</t>
  </si>
  <si>
    <t>SE.PRM.NENR.MA</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</si>
  <si>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</si>
  <si>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Net enrollment ratio is the ratio of children of official school age based on the International Standard Classification of Education 1997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</si>
  <si>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Secondary school starting age is the age at which students would enter secondary education, assuming they had started at the official entrance age for the lowest level of education, had studied full-time throughout and had progressed through the system without repeating or skipping a grade.</t>
  </si>
  <si>
    <t>Lower secondary school starting age is the age at which students would enter lower secondary education, assuming they had started at the official entrance age for the lowest level of education, had studied full-time throughout and had progressed through the system without repeating or skipping a grade.</t>
  </si>
  <si>
    <t>SE.SEC.NENR</t>
  </si>
  <si>
    <t>SE.SEC.NENR.FE</t>
  </si>
  <si>
    <t>SE.SEC.NENR.MA</t>
  </si>
  <si>
    <t>Net enrollment ratio is the ratio of children of official school age based on the International Standard Classification of Education 1997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</si>
  <si>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</si>
  <si>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SE.SEC.PROG.FE.ZS</t>
  </si>
  <si>
    <t>SE.SEC.PROG.MA.ZS</t>
  </si>
  <si>
    <t>SE.SEC.PROG.ZS</t>
  </si>
  <si>
    <t>Progression to secondary school refers to the number of new entrants to the first grade of secondary school in a given year as a percentage of the number of students enrolled in the final grade of primary school in the previous year.</t>
  </si>
  <si>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</si>
  <si>
    <t>Public expenditure per student is the public current spending on education divided by the total number of students by level, as a percentage of GDP per capita. Public expenditure (current and capital) includes government spending on educational institutions (both public and private), education administration as well as subsidies for private entities (students/households and other privates entities).</t>
  </si>
  <si>
    <t>Government expenditure per student is the average general government expenditure (current, capital, and transfers) per student in the given level of education, expressed as a percentage of GDP per capita.</t>
  </si>
  <si>
    <t>Share of public expenditure for primary education is the percentage of public education expenditure for primary education. Public expenditure (current and capital) includes government spending on educational institutions (both public and private), education administration as well as subsidies for private entities (students/households and other privates entities).</t>
  </si>
  <si>
    <t>Share of public expenditure for secondary education is the percentage of public education expenditure for secondary education. Public expenditure (current and capital) includes government spending on educational institutions (both public and private), education administration as well as subsidies for private entities (students/households and other privates entities).</t>
  </si>
  <si>
    <t>Share of public expenditure for tertiary education is the percentage of public education expenditure for tertiary education. Public expenditure (current and capital) includes government spending on educational institutions (both public and private), education administration as well as subsidies for private entities (students/households and other privates entities).</t>
  </si>
  <si>
    <t>Public expenditure on education consists of current and capital government spending on educational institutions (both public and private), education administration as well as subsidies for private entities (students/households and other privates entities).</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</si>
  <si>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</si>
  <si>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</si>
  <si>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Total health expenditure is the sum of public and private health expenditures as a ratio of total population. It covers the provision of health services (preventive and curative), family planning activities, nutrition activities, and emergency aid designated for health but does not include provision of water and sanitation. Data are in international dollars converted using 2011 purchasing power parity (PPP) rates.</t>
  </si>
  <si>
    <t>Total health expenditure is the sum of public and private health expenditures as a ratio of total population. It covers the provision of health services (preventive and curative), family planning activities, nutrition activities, and emergency aid designated for health but does not include provision of water and sanitation. Data are in international dollars converted using 2005 purchasing power parity (PPP) rates.</t>
  </si>
  <si>
    <t>SL.EMP.INSV.FE.ZS</t>
  </si>
  <si>
    <t>Share of women employed in the nonagricultural sector is the share of female workers in the nonagricultural sector (industry and services), expressed as a percentage of total employment in the nonagricultural sector. Industry includes mining and quarrying (including oil production), manufacturing, construction, electricity, gas, and water, corresponding to divisions 2-5 (ISIC revision 2) or tabulation categories C-F (ISIC revision 3). Services include wholesale and retail trade and restaurants and hotels; transport, storage, and communications; financing, insurance, real estate, and business services; and community, social, and personal services-corresponding to divisions 6-9 (ISIC revision 2) or tabulation categories G-P (ISIC revision 3).</t>
  </si>
  <si>
    <t>Share of women in wage employment in the nonagricultural sector is the share of female workers in wage employment in the nonagricultural sector (industry and services), expressed as a percentage of total employment in the nonagricultural sector. Industry includes mining and quarrying (including oil production), manufacturing, construction, electricity, gas, and water, corresponding to divisions 2-5 (ISIC revision 2) or tabulation categories C-F (ISIC revision 3). Services include wholesale and retail trade and restaurants and hotels; transport, storage, and communications; financing, insurance, real estate, and business services; and community, social, and personal services-corresponding to divisions 6-9 (ISIC revision 2) or tabulation categories G-P (ISIC revision 3).</t>
  </si>
  <si>
    <t>Share of women employed in the nonagricultural sector (% of total nonagricultural employment)</t>
  </si>
  <si>
    <t>Share of women in wage employment in the nonagricultural sector (% of total nonagricultural employment)</t>
  </si>
  <si>
    <t>SE.PRM.DURS</t>
  </si>
  <si>
    <t>Primary duration refers to the number of years of full-time equivalent duration in primary education in the school system according to ISCED.</t>
  </si>
  <si>
    <t>Primary duration refers to the number of grades (years) in primary school.</t>
  </si>
  <si>
    <t>SE.SEC.DURS</t>
  </si>
  <si>
    <t>Secondary education, duration (years) is the number of grades (years) in secondary school.</t>
  </si>
  <si>
    <t>Secondary duration refers to the number of grades (years) in secondary school.</t>
  </si>
  <si>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four sub-categories of employers, own-account workers, members of producers' cooperatives, and contributing family workers.</t>
  </si>
  <si>
    <t>SL.TLF.PRIM.FE.ZS</t>
  </si>
  <si>
    <t>SL.TLF.PRIM.MA.ZS</t>
  </si>
  <si>
    <t>SL.TLF.PRIM.ZS</t>
  </si>
  <si>
    <t>SL.TLF.SECO.FE.ZS</t>
  </si>
  <si>
    <t>SL.TLF.SECO.MA.ZS</t>
  </si>
  <si>
    <t>SL.TLF.SECO.ZS</t>
  </si>
  <si>
    <t>SL.TLF.TERT.FE.ZS</t>
  </si>
  <si>
    <t>SL.TLF.TERT.MA.ZS</t>
  </si>
  <si>
    <t>SL.TLF.TERT.ZS</t>
  </si>
  <si>
    <t>Labor force with primary education is the proportion of the labor force that has a primary education, as a percentage of the total labor force.</t>
  </si>
  <si>
    <t>Female labor force with primary education is the share of the female labor force that attained or completed primary education as the highest level of education.</t>
  </si>
  <si>
    <t>Male labor force with primary education is the share of the male labor force that attained or completed primary education as the highest level of education.</t>
  </si>
  <si>
    <t>Labor force with primary education is the share of the total labor force that attained or completed primary education as the highest level of education.</t>
  </si>
  <si>
    <t>Labor force with secondary education is the proportion of the labor force that has a secondary education, as a percentage of the total labor force.</t>
  </si>
  <si>
    <t>Female labor force with secondary education is the share of the female labor force that attained or completed secondary education as the highest level of education.</t>
  </si>
  <si>
    <t>Male labor force with secondary education is the share of the male labor force that attained or completed secondary education as the highest level of education.</t>
  </si>
  <si>
    <t>Labor force with secondary education is the share of the total labor force that attained or completed secondary education as the highest level of education.</t>
  </si>
  <si>
    <t>Labor force with tertiary education is the proportion of labor force that has a tertiary education, as a percentage of the total labor force.</t>
  </si>
  <si>
    <t>Female labor force with tertiary education is the share of the female labor force that attained or completed tertiary education as the highest level of education.</t>
  </si>
  <si>
    <t>Male labor force with tertiary education is the share of the male labor force that attained or completed tertiary education as the highest level of education.</t>
  </si>
  <si>
    <t>Labor force with tertiary education is the share of the total labor force that attained or completed tertiary education as the highest level of education.</t>
  </si>
  <si>
    <t>SL.UEM.PRIM.FE.ZS</t>
  </si>
  <si>
    <t>SL.UEM.PRIM.MA.ZS</t>
  </si>
  <si>
    <t>SL.UEM.PRIM.ZS</t>
  </si>
  <si>
    <t>SL.UEM.SECO.FE.ZS</t>
  </si>
  <si>
    <t>SL.UEM.SECO.MA.ZS</t>
  </si>
  <si>
    <t>SL.UEM.SECO.ZS</t>
  </si>
  <si>
    <t>SL.UEM.TERT.FE.ZS</t>
  </si>
  <si>
    <t>SL.UEM.TERT.MA.ZS</t>
  </si>
  <si>
    <t>SL.UEM.TERT.ZS</t>
  </si>
  <si>
    <t>Unemployment by level of educational attainment shows the unemployed by level of educational attainment, as a percentage of the unemployed. The levels of educational attainment accord with the International Standard Classification of Education 1997 of the United Nations Educational, Cultural, and Scientific Organization (UNESCO).</t>
  </si>
  <si>
    <t>Female unemployment with primary education is the share of the female unemployed who attained or completed primary education as the highest level.</t>
  </si>
  <si>
    <t>Male unemployment with primary education is the share of the male unemployed who attained or completed primary education as the highest level.</t>
  </si>
  <si>
    <t>Unemployment with primary education is the share of the total unemployed who attained or completed primary education as the highest level.</t>
  </si>
  <si>
    <t>Female unemployment with secondary education is the share of the female unemployed who attained or completed secondary education as the highest level.</t>
  </si>
  <si>
    <t>Male unemployment with secondary education is the share of the male unemployed who attained or completed secondary education as the highest level.</t>
  </si>
  <si>
    <t>Unemployment with secondary education is the share of the total unemployed who attained or completed secondary education as the highest level.</t>
  </si>
  <si>
    <t>Female unemployment with tertiary education is the share of the female unemployed who attained or completed tertiary education as the highest level.</t>
  </si>
  <si>
    <t>Male unemployment with tertiary education is the share of the male unemployed who attained or completed tertiary education as the highest level.</t>
  </si>
  <si>
    <t>Unemployment with tertiary education is the share of the total unemployed who attained or completed tertiary education as the highest level.</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</si>
  <si>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</si>
  <si>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IT.NET.BBND.ZS</t>
  </si>
  <si>
    <t>Tertiary education, academic staff (% female) is the share of female academic staff in tertiary education.</t>
  </si>
  <si>
    <t>Access to non-solid fuel (% of population)</t>
  </si>
  <si>
    <t>Children in employment, unpaid family workers, female (% of female children in employment, ages 7-14)</t>
  </si>
  <si>
    <t>Children in employment, unpaid family workers, male (% of male children in employment, ages 7-14)</t>
  </si>
  <si>
    <t>Children in employment, self-employed, female (% of female children in employment, ages 7-14)</t>
  </si>
  <si>
    <t>Children in employment, wage workers, female (% of female children in employment, ages 7-14)</t>
  </si>
  <si>
    <t>Stockholm International Peace Research Institute (SIPRI), Yearbook: Armaments, Disarmament and International Security.</t>
  </si>
  <si>
    <t>Stockholm International Peace Research Institute (SIPRI), Arms Transfers Programme (http://portal.sipri.org/publications/pages/transfer/splash).</t>
  </si>
  <si>
    <t>SH.CON.AIDS.FE.ZS</t>
  </si>
  <si>
    <t>SH.CON.AIDS.MA.ZS</t>
  </si>
  <si>
    <t>Demographic and Health Surveys, and UNAIDS.</t>
  </si>
  <si>
    <t>SH.FPL.SATI.ZS</t>
  </si>
  <si>
    <t>SH.MED.CMHW.P3</t>
  </si>
  <si>
    <t>SH.MED.MWIV.P3</t>
  </si>
  <si>
    <t>SH.MED.NURS.P3</t>
  </si>
  <si>
    <t>SH.MLR.PREG.ZS</t>
  </si>
  <si>
    <t>World Health Organization's Global Health Workforce Statistics, OECD, supplemented by country data.</t>
  </si>
  <si>
    <t>Demographic and Health Surveys.</t>
  </si>
  <si>
    <t>UNICEF, State of the World's Children, Childinfo, and Demographic and Health Surveys.</t>
  </si>
  <si>
    <t>SH.STA.ANV4.ZS</t>
  </si>
  <si>
    <t>SH.STA.ARIF.ZS</t>
  </si>
  <si>
    <t xml:space="preserve">UNICEF, State of the World's Children, Childinfo, and Demographic and Health Surveys by ICF International. </t>
  </si>
  <si>
    <t>SH.XPD.PRIV</t>
  </si>
  <si>
    <t>SH.XPD.TOTL.CD</t>
  </si>
  <si>
    <t>World Health Organization Global Health Expenditure database (see http://apps.who.int/nha/database for the most recent updates).</t>
  </si>
  <si>
    <t>SM.POP.TOTL</t>
  </si>
  <si>
    <t>United Nations Population Division, Trends in Total Migrant Stock: 2008 Revision.</t>
  </si>
  <si>
    <t>United Nations Population Division, Trends in Total Migrant Stock: 2012 Revision.</t>
  </si>
  <si>
    <t>SN.ITK.DEFC</t>
  </si>
  <si>
    <t>Food and Agriculture Organization (http://www.fao.org/publications/en/).</t>
  </si>
  <si>
    <t>Food and Agriculture Organization, Food Security Statistics.</t>
  </si>
  <si>
    <t>UNICEF's State of the World's Children and Childinfo, United Nations Population Division's World Contraceptive Use, household surveys including Demographic and Health Surveys and Multiple Indicator Cluster Surveys.</t>
  </si>
  <si>
    <t>Household surveys, including Demographic and Health Surveys and Multiple Indicator Cluster Surveys. Largely compiled by United Nations Population Division.</t>
  </si>
  <si>
    <t>IT.CEL.COVR.ZS</t>
  </si>
  <si>
    <t>IT.CEL.HOUS.ZS</t>
  </si>
  <si>
    <t>IT.CMP.HOUS.ZS</t>
  </si>
  <si>
    <t>IT.CMP.USER</t>
  </si>
  <si>
    <t>IT.INT.CTRF.MN</t>
  </si>
  <si>
    <t>IT.INT.MTRF.MN</t>
  </si>
  <si>
    <t>IT.INT.TTRF.MN</t>
  </si>
  <si>
    <t>IT.NET.BNDW.PC</t>
  </si>
  <si>
    <t>IT.NET.USER.ZS</t>
  </si>
  <si>
    <t>IT.TEL.EMPL.TO</t>
  </si>
  <si>
    <t>IT.TEL.INVS.CD</t>
  </si>
  <si>
    <t>IT.TEL.INVS.RV.ZS</t>
  </si>
  <si>
    <t>IT.TEL.REVN.CD</t>
  </si>
  <si>
    <t>IT.TEL.TOTL</t>
  </si>
  <si>
    <t>IT.TEL.TOTL.EM</t>
  </si>
  <si>
    <t>IT.TEL.TOTL.P2</t>
  </si>
  <si>
    <t>International Telecommunication Union, World Telecommunication/ICT Development Report and database, and World Bank estimates.</t>
  </si>
  <si>
    <t>International Telecommunication Union, World Telecommunication/ICT Development Report and database.</t>
  </si>
  <si>
    <t>International Telecommunication Union, World Telecommunication/ICT Development Report and database, and TeleGeography.</t>
  </si>
  <si>
    <t>International Telecommunication Union, World Telecommunication/ICT Development Report and database, TeleGeography, and World Bank population estimates.</t>
  </si>
  <si>
    <t>Access to electricity, rural (% of rural population)</t>
  </si>
  <si>
    <t>Access to electricity, urban (% of urban population)</t>
  </si>
  <si>
    <t>Access to non-solid fuel, rural (% of rural population)</t>
  </si>
  <si>
    <t>Access to non-solid fuel, urban (% of urban population)</t>
  </si>
  <si>
    <t>IS.ROD.DESL.KT</t>
  </si>
  <si>
    <t>Road sector diesel fuel consumption (kt of oil equivalent)</t>
  </si>
  <si>
    <t>IS.ROD.ENGY.KT</t>
  </si>
  <si>
    <t>Road sector energy consumption (kt of oil equivalent)</t>
  </si>
  <si>
    <t>IS.ROD.ENGY.ZS</t>
  </si>
  <si>
    <t>Road sector energy consumption (% of total energy consumption)</t>
  </si>
  <si>
    <t>IS.ROD.SGAS.KT</t>
  </si>
  <si>
    <t>Road sector gasoline fuel consumption (kt of oil equivalent)</t>
  </si>
  <si>
    <t>Change in topic (0)</t>
  </si>
  <si>
    <t>Firms using banks to finance working capital are the percentage of firms using bank loans to finance working capital.</t>
  </si>
  <si>
    <t>Bribery incidence is the percentage of firms experiencing at least one bribe payment request across 6 public transactions dealing with utilities access, permits, licenses, and taxes.</t>
  </si>
  <si>
    <t>Telephone lines</t>
  </si>
  <si>
    <t>Telephone lines (per 100 people)</t>
  </si>
  <si>
    <t>14 April, 2015: Full update of development data to coincide with publication of the World Development Indicators 2015 book. New indicators include those for education expenditure, children in employment, and firm-level financing and bribery incidence.</t>
  </si>
  <si>
    <t>SP.REG.DTHS.ZS</t>
  </si>
  <si>
    <t>EG.EGY.PRIM.PP.KD</t>
  </si>
  <si>
    <t>EG.ELC.RNEW.ZS</t>
  </si>
  <si>
    <t>EG.FEC.RNEW.ZS</t>
  </si>
  <si>
    <t>Completeness of death registration with cause-of-death information (%)</t>
  </si>
  <si>
    <t>Energy intensity level of primary energy (MJ/$2011 PPP GDP)</t>
  </si>
  <si>
    <t>Renewable electricity output (% of total electricity output)</t>
  </si>
  <si>
    <t>Renewable energy consumption (% of total final energy consumption)</t>
  </si>
  <si>
    <t>EG.EGY.PROD.KT.OE</t>
  </si>
  <si>
    <t>Energy production (kt of oil equivalent)</t>
  </si>
  <si>
    <t>EG.ELC.COAL.KH</t>
  </si>
  <si>
    <t>Electricity production from coal sources (kWh)</t>
  </si>
  <si>
    <t>EG.ELC.HYRO.KH</t>
  </si>
  <si>
    <t>Electricity production from hydroelectric sources (kWh)</t>
  </si>
  <si>
    <t>EG.ELC.LOSS.KH</t>
  </si>
  <si>
    <t>Electric power transmission and distribution losses (kWh)</t>
  </si>
  <si>
    <t>EG.ELC.NGAS.KH</t>
  </si>
  <si>
    <t>Electricity production from natural gas sources (kWh)</t>
  </si>
  <si>
    <t>EG.ELC.NUCL.KH</t>
  </si>
  <si>
    <t>Electricity production from nuclear sources (kWh)</t>
  </si>
  <si>
    <t>EG.ELC.PETR.KH</t>
  </si>
  <si>
    <t>Electricity production from oil sources (kWh)</t>
  </si>
  <si>
    <t>EG.ELC.PROD.KH</t>
  </si>
  <si>
    <t>Electricity production (kWh)</t>
  </si>
  <si>
    <t>EG.USE.COMM.KT.OE</t>
  </si>
  <si>
    <t>Energy use (kt of oil equivalent)</t>
  </si>
  <si>
    <t>EG.USE.CRNW.KT.OE</t>
  </si>
  <si>
    <t>Combustible renewables and waste (metric tons of oil equivalent)</t>
  </si>
  <si>
    <t>EG.USE.ELEC.KH</t>
  </si>
  <si>
    <t>Electric power consumption (kWh)</t>
  </si>
  <si>
    <t>Data are available from IEA Statistics © OECD/IEA, http://www.iea.org/stats/index.asp.</t>
  </si>
  <si>
    <t>EG.ELC.COAL.ZS</t>
  </si>
  <si>
    <t>EG.ELC.HYRO.ZS</t>
  </si>
  <si>
    <t>EG.ELC.LOSS.ZS</t>
  </si>
  <si>
    <t>EG.ELC.NGAS.ZS</t>
  </si>
  <si>
    <t>EG.ELC.NUCL.ZS</t>
  </si>
  <si>
    <t>EG.ELC.PETR.ZS</t>
  </si>
  <si>
    <t>EG.IMP.CONS.ZS</t>
  </si>
  <si>
    <t>EG.USE.COMM.CL.ZS</t>
  </si>
  <si>
    <t>EG.USE.COMM.FO.ZS</t>
  </si>
  <si>
    <t>EG.USE.CRNW.ZS</t>
  </si>
  <si>
    <t>EG.USE.ELEC.KH.PC</t>
  </si>
  <si>
    <t>EG.USE.PCAP.KG.OE</t>
  </si>
  <si>
    <t>EN.ATM.GHGO.KT.CE</t>
  </si>
  <si>
    <t>EN.ATM.METH.AG.ZS</t>
  </si>
  <si>
    <t>EN.ATM.NOXE.AG.ZS</t>
  </si>
  <si>
    <t>EN.ATM.NOXE.KT.CE</t>
  </si>
  <si>
    <t>International Energy Agency (IEA Statistics © OECD/IEA, http://www.iea.org/stats/index.asp), Energy Statistics and Balances of Non-OECD Countries and Energy Statistics of OECD Countries, and United Nations, Energy Statistics Yearbook.</t>
  </si>
  <si>
    <t>International Energy Agency (IEA Statistics © OECD/IEA, http://www.iea.org/stats/index.asp), and World Bank PPP data.</t>
  </si>
  <si>
    <t>International Energy Agency (IEA Statistics © OECD/IEA, http://www.iea.org/stats/index.asp) and United Nations, Energy Statistics Yearbook.</t>
  </si>
  <si>
    <t>International Energy Agency (IEA Statistics © OECD/IEA, http://www.iea.org/stats/index.asp), Energy Statistics and Balances of Non-OECD Countries and Energy Statistics of OECD Countries.</t>
  </si>
  <si>
    <t>IEA Statistics © OECD/IEA 2012 (http://www.iea.org/stats/index.asp), subject to https://www.iea.org/t&amp;c/termsandconditions/</t>
  </si>
  <si>
    <t>European Commission, Joint Research Centre (JRC)/Netherlands Environmental Assessment Agency (PBL). Emission Database for Global Atmospheric Research (EDGAR): http://edgar.jrc.ec.europa.eu/</t>
  </si>
  <si>
    <t>Particulate emissions damage is calculated as the willingness to pay to avoid mortality attributable to particulate emissions.</t>
  </si>
  <si>
    <t>World Bank staff estimates based on Kiran D. Pandey and others' "The Human Costs of Air Pollution: New Estimates for Developing Countries" (working paper).</t>
  </si>
  <si>
    <t>SH.PRV.SMOK.FE</t>
  </si>
  <si>
    <t>SH.PRV.SMOK.MA</t>
  </si>
  <si>
    <t>Prevalence of smoking, female is the percentage of women ages 15 and over who smoke any form of tobacco, including cigarettes, cigars, and pipes, and excluding smokeless tobacco. Data include daily and non-daily smoking.</t>
  </si>
  <si>
    <t>Prevalence of smoking, male is the percentage of men ages 15 and over who smoke any form of tobacco, including cigarettes, cigars, and pipes, and excluding smokeless tobacco. Data include daily and non-daily smoking.</t>
  </si>
  <si>
    <t>Prevalence of smoking, female is the percentage of women ages 15 and over who smoke any form of tobacco, including cigarettes, cigars, pipes or any other smoked tobacco products. Data include daily and non-daily or occasional smoking.</t>
  </si>
  <si>
    <t>Prevalence of smoking, male is the percentage of men ages 15 and over who smoke any form of tobacco, including cigarettes, cigars, pipes or any other smoked tobacco products. Data include daily and non-daily or occasional smoking.</t>
  </si>
  <si>
    <t>WHO Report on the Global Tobacco Epidemic.</t>
  </si>
  <si>
    <t>World Health Organization, Global Health Observatory Data Repository (http://apps.who.int/ghodata/).</t>
  </si>
  <si>
    <t>Completeness of death registration is the estimated percentage of deaths that are registered with their cause of death information in the vital registration system of a country.</t>
  </si>
  <si>
    <t>World Health Organization, Global Health Observatory Data Repository/World Health Statistics (http://apps.who.int/gho/data/node.main.1?lang=en).</t>
  </si>
  <si>
    <t>© OECD/IEA and World Bank, based on IEA data in IEA World Energy Balances © OECD/IEA 2013 edition, subject to https://www.iea.org/t&amp;c/termsandconditions/</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</si>
  <si>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</si>
  <si>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Renewable electricity  is the share of electrity generated by renewable power plants in total electricity generated by all types of plants.</t>
  </si>
  <si>
    <t>Renewable energy consumption is the share of renewables energy in total final energy consumption.</t>
  </si>
  <si>
    <t>Particulate emissions damage is the damage due to exposure of a country's population to ambient concentrations of particulates measuring less than 2.5 microns in diameter (PM2.5) as well as indoor concentrations of air pollution in households cooking with solid fuels. Damages are calculated as productivity losses in the workforce due to premature death and illness.</t>
  </si>
  <si>
    <t>Data on health impacts from exposure to ambient PM2.5 pollution and household air pollution are from the Global Burden of Disease 2010 study. Data are provided by the Institute for Health Metrics and Evaluation at the University of Washington.</t>
  </si>
  <si>
    <t>1 July, 2015:  2014 data (plus revised historical data, where necessary) for all countries and groups for population-, GDP- and GNI-related indicators have been released. Other data that have been updated include balance of payments, monetary indicators, CPIA indicators, military expenditure, CO2 emissions, fuel prices, electricity access, air traffic, merchandise trade, and foreign direct investment. Country classification hierarchies and group aggregate data reflect new fiscal year 2016 income classifications.</t>
  </si>
  <si>
    <t xml:space="preserve">28 July, 2015:  Data have been updated for adjusted savings, energy, electricity, sectoral CO2, natural resource rents, and telecommunications indicators. The following issues in the July 1 2015 update have also been corrected: constant GNI related indicators (including PPP, GNI growth and net income from abroad) for Belgium and Estonia for 2014; historical national accounts data (including the DEC alternative conversion factor and US dollar derived series using GDP and GNI) up to 1990 for Argentina, Brazil, Democratic Republic of Congo, Nicaragua, and Peru; data for domestic credit to the private sector by banks for Zimbabwe for 2008 (removed); military expenditure as a percentage of GDP for Russian Federation for 1988-90 (removed); and PM2.5 series. Aggregate data for indicators covered by these corrections, as well as aggregate data for scientific and technical journal articles, have also been revised. </t>
  </si>
  <si>
    <t>9 September, 2015: Data, including estimates for 2015, have been released for child mortality indicators in coordination with the United Nations Inter-agency Group for Child Mortality Estimation. Other updates include those for access to an improved water source, access to improved sanitation facilities, and education aggregates. The normal quarterly WDI update for macroeconomic and other indicators is scheduled for September 18.</t>
  </si>
  <si>
    <t>SL.AGR.EMPL.MA.ZS</t>
  </si>
  <si>
    <t>Employees, agriculture, male (% of male employment)</t>
  </si>
  <si>
    <t>Employment in agriculture, male (% of male employment)</t>
  </si>
  <si>
    <t>SL.AGR.EMPL.FE.ZS</t>
  </si>
  <si>
    <t>Employees, agriculture, female (% of female employment)</t>
  </si>
  <si>
    <t>Employment in agriculture, female (% of female employment)</t>
  </si>
  <si>
    <t>SL.IND.EMPL.MA.ZS</t>
  </si>
  <si>
    <t>Employees, industry, male (% of male employment)</t>
  </si>
  <si>
    <t>Employment in industry, male (% of male employment)</t>
  </si>
  <si>
    <t>SL.IND.EMPL.FE.ZS</t>
  </si>
  <si>
    <t>Employees, industry, female (% of female employment)</t>
  </si>
  <si>
    <t>Employment in industry, female (% of female employment)</t>
  </si>
  <si>
    <t>SL.SRV.EMPL.FE.ZS</t>
  </si>
  <si>
    <t>Employees, services, female (% of female employment)</t>
  </si>
  <si>
    <t>Employment in services, female (% of female employment)</t>
  </si>
  <si>
    <t>SL.SRV.EMPL.MA.ZS</t>
  </si>
  <si>
    <t>Employees, services, male (% of male employment)</t>
  </si>
  <si>
    <t>Employment in services, male (% of male employment)</t>
  </si>
  <si>
    <t>Ratio of girls to boys in primary and secondary education (%)</t>
  </si>
  <si>
    <t>School enrollment, primary and secondary (gross), gender parity index (GPI)</t>
  </si>
  <si>
    <t>Ratio of female to male primary enrollment (%)</t>
  </si>
  <si>
    <t>School enrollment, primary (gross), gender parity index (GPI)</t>
  </si>
  <si>
    <t>Ratio of female to male secondary enrollment (%)</t>
  </si>
  <si>
    <t>School enrollment, secondary (gross), gender parity index (GPI)</t>
  </si>
  <si>
    <t>Ratio of female to male tertiary enrollment (%)</t>
  </si>
  <si>
    <t>School enrollment, tertiary (gross), gender parity index (GPI)</t>
  </si>
  <si>
    <t>SE.ADT.1524.LT.FM.ZS</t>
  </si>
  <si>
    <t>Ratio of young literate females to males (% ages 15-24)</t>
  </si>
  <si>
    <t>Prevalence of overweight (% of children under 5)</t>
  </si>
  <si>
    <t>Prevalence of overweight, weight for height (% of children under 5)</t>
  </si>
  <si>
    <t>Prevalence of overweight, weight for height, female (% of children under 5)</t>
  </si>
  <si>
    <t>Prevalence of overweight, weight for height, male (% of children under 5)</t>
  </si>
  <si>
    <t>Malnutrition prevalence, weight for age (% of children under 5)</t>
  </si>
  <si>
    <t>Prevalence of underweight, weight for age (% of children under 5)</t>
  </si>
  <si>
    <t>Prevalence of underweight, weight for age, female (% of children under 5)</t>
  </si>
  <si>
    <t>Prevalence of underweight, weight for age, male (% of children under 5)</t>
  </si>
  <si>
    <t>Malnutrition prevalence, height for age (% of children under 5)</t>
  </si>
  <si>
    <t>Prevalence of stunting, height for age (% of children under 5)</t>
  </si>
  <si>
    <t>Prevalence of stunting, height for age, female (% of children under 5)</t>
  </si>
  <si>
    <t>Prevalence of stunting, height for age, male (% of children under 5)</t>
  </si>
  <si>
    <t>Prevalence of wasting (% of children under 5)</t>
  </si>
  <si>
    <t>Prevalence of wasting, weight for height (% of children under 5)</t>
  </si>
  <si>
    <t>Prevalence of wasting, weight for height, female (% of children under 5)</t>
  </si>
  <si>
    <t>Prevalence of wasting, weight for height, male (% of children under 5)</t>
  </si>
  <si>
    <t>PM2.5 air pollution, mean annual exposure (micrograms per cubic meter)</t>
  </si>
  <si>
    <t>PM2.5 air pollution, population exposed to levels exceeding WHO guideline value (% of total)</t>
  </si>
  <si>
    <t>Access to improved sanitation facilities refers to the percentage of the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t>
  </si>
  <si>
    <t>Access to improved sanitation facilities refers to the percentage of the population using improved sanitation facilities. Improved sanitation facilities include flush/pour flush (to piped sewer system, septic tank, pit latrine), ventilated improved pit (VIP) latrine, pit latrine with slab, and composting toilet.</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</si>
  <si>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</si>
  <si>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Brauer, M. et al. 2015. "Ambient Air Pollution Exposure Estimation for the Global Burden of Disease 2013." Paper submitted for publication. Institute for Health Metrics and Evaluation, University of Washington, Seattle.</t>
  </si>
  <si>
    <t>Ratio of young literate females to males is the percentage of females to males ages 15-24 who can both read and write with understanding a short simple statement about their everyday life.</t>
  </si>
  <si>
    <t>Gender parity index for youth literacy rate is the ratio of females to males ages 15-24 who can both read and write with understanding a short simple statement about their everyday life.</t>
  </si>
  <si>
    <t>Gender parity index for gross enrollment ratio in primary education is the ratio of girls to boys enrolled at primary level in public and private schools.</t>
  </si>
  <si>
    <t>Gender parity index for gross enrollment ratio in primary and secondary education is the ratio of girls to boys enrolled at primary and secondary levels in public and private schools.</t>
  </si>
  <si>
    <t>Gender parity index for gross enrollment ratio in secondary education is the ratio of girls to boys enrolled at secondary level in public and private schools.</t>
  </si>
  <si>
    <t>Gender parity index for gross enrollment ratio in tertiary education is the ratio of women to men enrolled at tertiary level in public and private schools.</t>
  </si>
  <si>
    <t>Prevalence of underweight children is the percentage of children under age 5 whose weight for age is more than two standard deviations below the median for the international reference population ages 0-59 months. The data are based on the WHO's new child growth standards released in 2006.</t>
  </si>
  <si>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new child growth standards released in 2006.</t>
  </si>
  <si>
    <t>Literacy rate, youth (ages 15-24), gender parity index (GPI)</t>
  </si>
  <si>
    <t>SH.PRG.ARTC.ZS</t>
  </si>
  <si>
    <t>The percentage of HIV-positive pregnant women who received antiretroviral medicine during the past 12 months to reduce the risk of mother-to-child transmission during pregnancy and delivery.</t>
  </si>
  <si>
    <t>The percentage of pregnant women living with HIV who received the most effective antiretroviral regimens as recommended by WHO during the last 12 months to reduce mother-to-child transmission.</t>
  </si>
  <si>
    <t>18 September, 2015: Data have been updated for malnutrition-related indicators, population-related indicators (including per capita series, such as GNI per capita and GDP per capita), balance of payments, monetary indicators, immunization, HIV-related indicators, and PM 2.5 air pollution. National accounts data for Liberia have been corrected, with local currency values now reported in U.S. dollars.</t>
  </si>
  <si>
    <t>24 September, 2015: Data have been updated for refugees, foreign direct investment net inflows, and portfolio equity net inflows.</t>
  </si>
  <si>
    <t>SI.SPR.PC40.05</t>
  </si>
  <si>
    <t>SI.SPR.PCAP.05</t>
  </si>
  <si>
    <t>Annualized growth in per capita real survey mean consumption or income, bottom 40% (%)</t>
  </si>
  <si>
    <t>Annualized growth in per capita real survey mean consumption or income, total population (%)</t>
  </si>
  <si>
    <t>Survey mean consumption or income per capita, bottom 40% (2011 PPP $ per day)</t>
  </si>
  <si>
    <t>Survey mean consumption or income per capita, total population (2011 PPP $ per day)</t>
  </si>
  <si>
    <t>Poverty headcount ratio at $1.90 a day (2011 PPP) (% of population)</t>
  </si>
  <si>
    <t>Poverty headcount ratio at $3.10 a day (2011 PPP) (% of population)</t>
  </si>
  <si>
    <t>Poverty gap at $1.90 a day (2011 PPP) (%)</t>
  </si>
  <si>
    <t>Poverty gap at $3.10 a day (2011 PPP) (%)</t>
  </si>
  <si>
    <t>Poverty headcount ratio at $1.25 a day (PPP) (% of population)</t>
  </si>
  <si>
    <t>Poverty headcount ratio at $2 a day (PPP) (% of population)</t>
  </si>
  <si>
    <t>Poverty gap at $1.25 a day (PPP) (%)</t>
  </si>
  <si>
    <t>Poverty gap at $2 a day (PPP) (%)</t>
  </si>
  <si>
    <t>Fixed broadband subscriptions</t>
  </si>
  <si>
    <t>Fixed broadband subscriptions (per 100 people)</t>
  </si>
  <si>
    <t>Population below $1.25 a day is the percentage of the population living on less than $1.25 a day at 2005 international prices. As a result of revisions in PPP exchange rates, poverty rates for individual countries cannot be compared with poverty rates reported in earlier editions.</t>
  </si>
  <si>
    <t>Population below $2 a day is the percentage of the population living on less than $2.00 a day at 2005 international prices. As a result of revisions in PPP exchange rates, poverty rates for individual countries cannot be compared with poverty rates reported in earlier editions.</t>
  </si>
  <si>
    <t>IEA Statistics © OECD/IEA 2014 (http://www.iea.org/stats/index.asp), subject to https://www.iea.org/t&amp;c/termsandconditions/</t>
  </si>
  <si>
    <t>Mean consumption or income per capita (2011 PPP $ per day) used in calculating the growth rate in the welfare aggregate of the bottom 40% of the population in the income distribution in a country.</t>
  </si>
  <si>
    <t>Mean consumption or income per capita (2011 PPP $ per day) used in calculating the growth rate in the welfare aggregate of total population.</t>
  </si>
  <si>
    <t>World Bank, Global Database of Shared Prosperity (GDSP) circa 2007 - 2012 (http://www.worldbank.org/en/topic/poverty/brief/global-database-of-shared-prosperity).</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</si>
  <si>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</si>
  <si>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Poverty gap is the mean shortfall from the poverty line (counting the nonpoor as having zero shortfall), expressed as a percentage of the poverty line. This measure reflects the depth of poverty as well as its incidence.</t>
  </si>
  <si>
    <t>9 October, 2015: Poverty, shared prosperity, and income distribution data have been updated and revised to now be based on 2011 PPP data. International poverty lines are expressed as $1.90 per day (from the previous line of $1.25 based on 2005 PPP) and $3.10 per day (from $2.00). Please note some countries continue to use the 2005-based estimates, as well as the 2005-based survey mean consumption or income per capita series for shared prosperity; see database notes. Data have also been updated for statistical capacity indicators, surface area, land area and related indicators, including population density, and social protection indicators. Corrections have been made to national accounts data for Guinea and Sierra Leone.</t>
  </si>
  <si>
    <t>Poverty headcount ratio at $3.10 a day is the percentage of the population living on less than $3.10 a day at 2011 international prices. As a result of revisions in PPP exchange rates, poverty rates for individual countries cannot be compared with poverty rates reported in earlier editions. Note: five countries -- Bangladesh, Cabo Verde, Cambodia, Jordan, and Lao PDR -- use the 2005 PPP conversion factors and corresponding $1.25 a day and $2 a day poverty lines. This is due to the large deviations in the rate of change in PPP factors relative to the rate of change in domestic consumer price indexes. See Box 1.1 in the Global Monitoring Report 2015/2016 (http://www.worldbank.org/en/publication/global-monitoring-report) for a detailed explanation.</t>
  </si>
  <si>
    <t>Poverty headcount ratio at $1.90 a day is the percentage of the population living on less than $1.90 a day at 2011 international prices. As a result of revisions in PPP exchange rates, poverty rates for individual countries cannot be compared with poverty rates reported in earlier editions. Note: five countries -- Bangladesh, Cabo Verde, Cambodia, Jordan, and Lao PDR -- use the 2005 PPP conversion factors and corresponding $1.25 a day and $2 a day poverty lines. This is due to the large deviations in the rate of change in PPP factors relative to the rate of change in domestic consumer price indexes. See Box 1.1 in the Global Monitoring Report 2015/2016 (http://www.worldbank.org/en/publication/global-monitoring-report) for a detailed explanation.</t>
  </si>
  <si>
    <t>Poverty gap at $3.10 a day (2011 PPP) is the mean shortfall in income or consumption from the poverty line $3.10 a day (counting the nonpoor as having zero shortfall), expressed as a percentage of the poverty line. This measure reflects the depth of poverty as well as its incidence. As a result of revisions in PPP exchange rates, poverty rates for individual countries cannot be compared with poverty rates reported in earlier editions. Note: five countries -- Bangladesh, Cabo Verde, Cambodia, Jordan, and Lao PDR -- use the 2005 PPP conversion factors and corresponding $1.25 a day and $2 a day poverty lines. This is due to the large deviations in the rate of change in PPP factors relative to the rate of change in domestic consumer price indexes. See Box 1.1 in the Global Monitoring Report 2015/2016 (http://www.worldbank.org/en/publication/global-monitoring-report) for a detailed explanation.</t>
  </si>
  <si>
    <t>Poverty gap at $1.90 a day (2011 PPP) is the mean shortfall in income or consumption from the poverty line $1.90 a day (counting the nonpoor as having zero shortfall), expressed as a percentage of the poverty line. This measure reflects the depth of poverty as well as its incidence. As a result of revisions in PPP exchange rates, poverty rates for individual countries cannot be compared with poverty rates reported in earlier editions. Note: five countries -- Bangladesh, Cabo Verde, Cambodia, Jordan, and Lao PDR -- use the 2005 PPP conversion factors and corresponding $1.25 a day and $2 a day poverty lines. This is due to the large deviations in the rate of change in PPP factors relative to the rate of change in domestic consumer price indexes. See Box 1.1 in the Global Monitoring Report 2015/2016 (http://www.worldbank.org/en/publication/global-monitoring-report) for a detailed explanation.</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</si>
  <si>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2011 and 2005 Purchasing Power Parity (PPP) using the PovcalNet (http://iresearch.worldbank.org/PovcalNet).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and. In cases where the data collection period bridged two calendar years, the year in which most of the data was collected is reported. The final year refers to the most recent survey available between 2010 and 2014.  The initial year refers to the nearest survey collected 5 years before the most recent survey available, only surveys collected between 3 and 7 years before the most recent survey are considered. Growth rates for four countries – Bangladesh, Cambodia, Jordan, and Lao PDR -- are based on survey means of 2005 PPP$. This is due to the large deviations in the rate of change in PPP factors relative to the rate of change in domestic consumer price indexes. See Box 1.1 in the Global Monitoring Report 2015/2016 (http://www.worldbank.org/en/publication/global-monitoring-report) for a detailed explanation.</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</si>
  <si>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2011 and 2005 Purchasing Power Parity (PPP) using the PovcalNet (http://iresearch.worldbank.org/PovcalNet).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and. In cases where the data collection period bridged two calendar years, the year in which most of the data was collected is reported. The final year refers to the most recent survey available between 2010 and 2014.  The initial year refers to the nearest survey collected 5 years before the most recent survey available, only surveys collected between 3 and 7 years before the most recent survey are considered. Growth rates for four countries – Bangladesh, Cambodia, Jordan, and Lao PDR -- are based on survey means of 2005 PPP$. This is due to the large deviations in the rate of change in PPP factors relative to the rate of change in domestic consumer price indexes. See Box 1.1 in the Global Monitoring Report 2015/2016 (http://www.worldbank.org/en/publication/global-monitoring-report) for a detailed explanation.</t>
  </si>
  <si>
    <t>14 October, 2015: Updates for Gini index and income distribution for Algeria, Arab Republic of Egypt, Iraq, Syrian Arab Republic, Republic of Yemen, and numerous high-income countries have been added to the data published on October 9.</t>
  </si>
  <si>
    <t>Annualized growth in survey mean consumption or income per capita, total population (%)</t>
  </si>
  <si>
    <t>Annualized average growth rate in per capita real survey mean consumption or income, total population (%)</t>
  </si>
  <si>
    <t>Annualized growth in survey mean consumption or income per capita, bottom 40% (%)</t>
  </si>
  <si>
    <t>Annualized average growth rate in per capita real survey mean consumption or income, bottom 40% of population (%)</t>
  </si>
  <si>
    <t>Survey mean consumption or income per capita, bottom 40% of population (2011 PPP $ per day)</t>
  </si>
  <si>
    <t>Survey mean consumption or income per capita, bottom 40% of population (2005 PPP $ per day)</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</si>
  <si>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2011 and 2005 Purchasing Power Parity (PPP) using the PovcalNet (http://iresearch.worldbank.org/PovcalNet).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where the data collection period bridged two calendar years, the first year in which data were collected is reported. The final year refers to the most recent survey available between 2010 and 2014. The initial year refers to the nearest survey collected 5 years before the most recent survey available, only surveys collected between 3 and 7 years before the most recent survey are considered. Growth rates for four countries – Bangladesh, Cambodia, Jordan, and Lao PDR – are based on survey means of 2005 PPP$. This is due to the large deviations in the rate of change in PPP factors relative to the rate of change in domestic consumer price indexes. See Box 1.1 in the Global Monitoring Report 2015/2016 (http://www.worldbank.org/en/publication/global-monitoring-report) for a detailed explanation.</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</si>
  <si>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2011 and 2005 Purchasing Power Parity (PPP) using the PovcalNet (http://iresearch.worldbank.org/PovcalNet).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where the data collection period bridged two calendar years, the first year in which data were collected is reported. The final year refers to the most recent survey available between 2010 and 2014. The initial year refers to the nearest survey collected 5 years before the most recent survey available, only surveys collected between 3 and 7 years before the most recent survey are considered. Growth rates for four countries – Bangladesh, Cambodia, Jordan, and Lao PDR – are based on survey means of 2005 PPP$. This is due to the large deviations in the rate of change in PPP factors relative to the rate of change in domestic consumer price indexes. See Box 1.1 in the Global Monitoring Report 2015/2016 (http://www.worldbank.org/en/publication/global-monitoring-report) for a detailed explanation.</t>
  </si>
  <si>
    <t>SL.AGR.EMPL.ZS</t>
  </si>
  <si>
    <t>SL.IND.EMPL.ZS</t>
  </si>
  <si>
    <t>SL.SRV.EMPL.ZS</t>
  </si>
  <si>
    <t>Employees are people who work for a public or private employer and receive remuneration in wages, salary, commission, tips, piece rates, or pay in kind. Agriculture corresponds to division 1 (ISIC revision 2) or tabulation categories A and B (ISIC revision 3) and includes hunting, forestry, and fishing.</t>
  </si>
  <si>
    <t>Employees are people who work for a public or private employer and receive remuneration in wages, salary, commission, tips, piece rates, or pay in kind. Industry corresponds to divisions 2-5 (ISIC revision 2) or tabulation categories C-F (ISIC revision 3) and includes mining and quarrying (including oil production), manufacturing, construction, and public utilities (electricity, gas, and water).</t>
  </si>
  <si>
    <t>Employees are people who work for a public or private employer and receive remuneration in wages, salary, commission, tips, piece rates, or pay in kind. Services correspond to divisions 6-9 (ISIC revision 2) or tabulation categories G-P (ISIC revision 3) and include wholesale and retail trade and restaurants and hotels; transport, storage, and communications; financing, insurance, real estate, and business services; and community, social, and personal services.</t>
  </si>
  <si>
    <t>Employment is defined as persons above a specified age who performed any work at all, in the reference period, for pay or profit (or pay in kind), or were temporarily absent from a job for such reasons as illness, maternity or parental leave, holiday, training or industrial dispute. Agriculture corresponds to division 1 (ISIC revision 2) or tabulation categories A and B (ISIC revision 3) and includes hunting, forestry, and fishing.</t>
  </si>
  <si>
    <t>Employment is defined as persons above a specified age who performed any work at all, in the reference period, for pay or profit (or pay in kind), or were temporarily absent from a job for such reasons as illness, maternity or parental leave, holiday, training or industrial dispute. Industry corresponds to divisions 2-5 (ISIC revision 2) or tabulation categories C-F (ISIC revision 3) and includes mining and quarrying (including oil production), manufacturing, construction, and public utilities (electricity, gas, and water).</t>
  </si>
  <si>
    <t>Employment is defined as persons above a specified age who performed any work at all, in the reference period, for pay or profit (or pay in kind), or were temporarily absent from a job for such reasons as illness, maternity or parental leave, holiday, training or industrial dispute. Services correspond to divisions 6-9 (ISIC revision 2) or tabulation categories G-P (ISIC revision 3) and include wholesale and retail trade and restaurants and hotels; transport, storage, and communications; financing, insurance, real estate, and business services; and community, social, and personal services.</t>
  </si>
  <si>
    <t>12 November, 2015: Data have been released for maternal mortality indicators as published in "Trends in Maternal Mortality: 1990 to 2015" in joint coordination with WHO, UNICEF, UNFPA, World Bank Group and the United Nations Population Division. Updates have also been made for Doing Business indicators, poverty and shared prosperity, employment by sector, and women in parliament.</t>
  </si>
  <si>
    <t>WHO, UNICEF, UNFPA, The World Bank, and the United Nations Population Division. Trends in Maternal Mortality: 1990 to 2015. Geneva, World Health Organization, 2015</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</si>
  <si>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</si>
  <si>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</si>
  <si>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</si>
  <si>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Market capitalization of listed companies (current US$)</t>
  </si>
  <si>
    <t>Stocks traded, turnover ratio (%)</t>
  </si>
  <si>
    <t>Market capitalization of listed companies (% of GDP)</t>
  </si>
  <si>
    <t>Market capitalization of listed domestic companies (current US$)</t>
  </si>
  <si>
    <t>Stocks traded, turnover ratio of domestic shares (%)</t>
  </si>
  <si>
    <t>Market capitalization of listed domestic companies (% of GDP)</t>
  </si>
  <si>
    <t>Market capitalization (also known as market value) is the share price times the number of shares outstanding. Listed domestic companies are the domestically incorporated companies listed on the country's stock exchanges at the end of the year. Listed companies does not include investment companies, mutual funds, or other collective investment vehicles. Data are in current U.S. dollars.</t>
  </si>
  <si>
    <t>Listed domestic companies are the domestically incorporated companies listed on the country's stock exchanges at the end of the year. This indicator does not include investment companies, mutual funds, or other collective investment vehicles.</t>
  </si>
  <si>
    <t>Stocks traded refers to the total value of shares traded during the period.</t>
  </si>
  <si>
    <t>Turnover ratio is the total value of shares traded during the period divided by the average market capitalization for the period. Average market capitalization is calculated as the average of the end-of-period values for the current period and the previous period.</t>
  </si>
  <si>
    <t>Market capitalization (also known as market value) is the share price times the number of shares outstanding. Listed domestic companies are the domestically incorporated companies listed on the country's stock exchanges at the end of the year. Listed companies does not include investment companies, mutual funds, or other collective investment vehicles.</t>
  </si>
  <si>
    <t>Stocks traded refers to the total value of shares traded during the period. This indicator complements the market capitalization ratio by showing whether market size is matched by trading.</t>
  </si>
  <si>
    <t>Listed domestic companies, including foreign companies which are exclusively listed, are those which have shares listed on an exchange at the end of the year. Investment funds, unit trusts, and companies whose only business goal is to hold shares of other listed companies, such as holding companies and investment companies, regardless of their legal status, are excluded. A company with several classes of shares is counted once. Only companies admitted to listing on the exchange are included.</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</si>
  <si>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</si>
  <si>
    <t>Turnover ratio is the value of domestic shares traded divided by their market capitalization. The value is annualized by multiplying the monthly average by 12.</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</si>
  <si>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</si>
  <si>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</si>
  <si>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</si>
  <si>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World Federation of Exchanges database.</t>
  </si>
  <si>
    <t>Principal arrears, public and publicly guaranteed (current US$)</t>
  </si>
  <si>
    <t>Interest arrears, public and publicly guaranteed (current US$</t>
  </si>
  <si>
    <t>Principal arrears, long-term DOD (US$)</t>
  </si>
  <si>
    <t>Interest arrears, long-term DOD (US$)</t>
  </si>
  <si>
    <t xml:space="preserve">16 December, 2015: This release features new external debt data from the International Debt Statistics database, and revised national accounts, PPP series, monetary indicators, FDI inflows, and remittances. Stock market data, which had been discontinued from Standard &amp; Poor's, have been re-sourced and updated to 2014 from the World Federation of Exchanges. Updates have also been made for demographic and labor series, science and technology indicators, refugees, Enterprise Surveys, financial access and soundness indicators, entrepreneurship, homicides, tuberculosis series, and railways. </t>
  </si>
  <si>
    <t>22 December, 2015: Data have been updated for malnutrition, national poverty indicators, and threatened species. Revisions and corrections include CO2 data for Democratic Republic of Korea, FDI data for United Arab Emirates, and population-related data (including GNI per capita) for Croatia and Maldives.</t>
  </si>
  <si>
    <t>29 December, 2015: National accounts data for Eritrea from 2012 to 2014 have been removed pending further review. Data for series derived from the national accounts indicators, including PPP conversion factors, have also been removed.</t>
  </si>
  <si>
    <t>17 February 2016: Data have been updated for grants indicators and forestry indicators. External debt data for Malaysia, Romania, and aggregate groups have been revised. Corrections have been made to international poverty data for Peru for 1985; GDP-related data for New Zealand from 2012-15; the PPP price level ratio for Myanmar for 2011; value added data for The Gambia and Lesotho; the consumer price index and inflation rates for Sierra Leone from 2006 to 2014; and data for other greenhouse gases from 1970 to 2010. National poverty data for Dominican Republic for 2014 have been removed pending further review.</t>
  </si>
  <si>
    <t>SE.SEC.REPT.FE.ZS</t>
  </si>
  <si>
    <t>SE.SEC.REPT.MA.ZS</t>
  </si>
  <si>
    <t>SE.SEC.REPT.ZS</t>
  </si>
  <si>
    <t>Contraceptive prevalence, any methods (% of women ages 15-49)</t>
  </si>
  <si>
    <t>SL.GDP.PCAP.EM.KD</t>
  </si>
  <si>
    <t>GDP per person employed (constant 2011 PPP $)</t>
  </si>
  <si>
    <t>SH.MED.SAOP.P5</t>
  </si>
  <si>
    <t>Specialist surgical workforce (per 100,000 population)</t>
  </si>
  <si>
    <t>SI.RMT.COST.ZS</t>
  </si>
  <si>
    <t>Average transaction cost of remittances (%)</t>
  </si>
  <si>
    <t>SE.COM.DURS</t>
  </si>
  <si>
    <t>Compulsory education, duration (years)</t>
  </si>
  <si>
    <t>SE.PRE.DURS</t>
  </si>
  <si>
    <t>Preprimary education, duration (years)</t>
  </si>
  <si>
    <t>SE.PRE.ENRL.TC.ZS</t>
  </si>
  <si>
    <t>Pupil-teacher ratio, preprimary</t>
  </si>
  <si>
    <t>SE.PRE.TCAQ.FE.ZS</t>
  </si>
  <si>
    <t>Trained teachers in preprimary education, female (% of female teachers)</t>
  </si>
  <si>
    <t>SE.PRE.TCAQ.MA.ZS</t>
  </si>
  <si>
    <t>Trained teachers in preprimary education, male (% of male teachers)</t>
  </si>
  <si>
    <t>SE.PRE.TCAQ.ZS</t>
  </si>
  <si>
    <t>Trained teachers in preprimary education (% of total teachers)</t>
  </si>
  <si>
    <t>SE.PRM.OENR.FE.ZS</t>
  </si>
  <si>
    <t>Over-age students, primary, female (% of female enrollment)</t>
  </si>
  <si>
    <t>SE.PRM.OENR.MA.ZS</t>
  </si>
  <si>
    <t>Over-age students, primary, male (% of male enrollment)</t>
  </si>
  <si>
    <t>SE.PRM.OENR.ZS</t>
  </si>
  <si>
    <t>Over-age students, primary (% of enrollment)</t>
  </si>
  <si>
    <t>SE.PRM.UNER.FE.ZS</t>
  </si>
  <si>
    <t>Children out of school, female (% of female primary school age)</t>
  </si>
  <si>
    <t>SE.PRM.UNER.MA.ZS</t>
  </si>
  <si>
    <t>Children out of school, male (% of male primary school age)</t>
  </si>
  <si>
    <t>SE.PRM.UNER.ZS</t>
  </si>
  <si>
    <t>Children out of school (% of primary school age)</t>
  </si>
  <si>
    <t>SE.SEC.ENRL.LO.TC.ZS</t>
  </si>
  <si>
    <t>Pupil-teacher ratio, lower secondary</t>
  </si>
  <si>
    <t>SE.SEC.ENRL.UP.TC.ZS</t>
  </si>
  <si>
    <t>Pupil-teacher ratio, upper secondary</t>
  </si>
  <si>
    <t>SE.SEC.TCAQ.FE.ZS</t>
  </si>
  <si>
    <t>Trained teachers in secondary education, female (% of female teachers)</t>
  </si>
  <si>
    <t>SE.SEC.TCAQ.LO.FE.ZS</t>
  </si>
  <si>
    <t>Trained teachers in lower secondary education, female (% of female teachers)</t>
  </si>
  <si>
    <t>SE.SEC.TCAQ.LO.MA.ZS</t>
  </si>
  <si>
    <t>Trained teachers in lower secondary education, male (% of male teachers)</t>
  </si>
  <si>
    <t>SE.SEC.TCAQ.LO.ZS</t>
  </si>
  <si>
    <t>Trained teachers in lower secondary education (% of total teachers)</t>
  </si>
  <si>
    <t>SE.SEC.TCAQ.MA.ZS</t>
  </si>
  <si>
    <t>Trained teachers in secondary education, male (% of male teachers)</t>
  </si>
  <si>
    <t>SE.SEC.TCAQ.UP.FE.ZS</t>
  </si>
  <si>
    <t>Trained teachers in upper secondary education, female (% of female teachers)</t>
  </si>
  <si>
    <t>SE.SEC.TCAQ.UP.MA.ZS</t>
  </si>
  <si>
    <t>Trained teachers in upper secondary education, male (% of male teachers)</t>
  </si>
  <si>
    <t>SE.SEC.TCAQ.UP.ZS</t>
  </si>
  <si>
    <t>Trained teachers in upper secondary education (% of total teachers)</t>
  </si>
  <si>
    <t>SE.SEC.TCAQ.ZS</t>
  </si>
  <si>
    <t>Trained teachers in secondary education (% of total teachers)</t>
  </si>
  <si>
    <t>SE.SEC.UNER.LO.FE.ZS</t>
  </si>
  <si>
    <t>Adolescents out of school, female (% of female lower secondary school age)</t>
  </si>
  <si>
    <t>SE.SEC.UNER.LO.MA.ZS</t>
  </si>
  <si>
    <t>Adolescents out of school, male (% of male lower secondary school age)</t>
  </si>
  <si>
    <t>SE.SEC.UNER.LO.ZS</t>
  </si>
  <si>
    <t>Adolescents out of school (% of lower secondary school age)</t>
  </si>
  <si>
    <t>SE.TER.ENRL.TC.ZS</t>
  </si>
  <si>
    <t>Pupil-teacher ratio, tertiary</t>
  </si>
  <si>
    <t>SG.JOB.NOPN.EQ</t>
  </si>
  <si>
    <t>Nonpregnant and nonnursing women can do the same jobs as men (1=yes; 0=no)</t>
  </si>
  <si>
    <t>SG.LAW.CHMR</t>
  </si>
  <si>
    <t>Law prohibits or invalidates child or early marriage (1=yes; 0=no)</t>
  </si>
  <si>
    <t>SG.LAW.EQRM.WK</t>
  </si>
  <si>
    <t>Law mandates equal remuneration for females and males for work of equal value (1=yes; 0=no)</t>
  </si>
  <si>
    <t>SG.LAW.LEVE.PU</t>
  </si>
  <si>
    <t>Law mandates paid or unpaid maternity leave (1=yes; 0=no)</t>
  </si>
  <si>
    <t>SG.LAW.NODC.HR</t>
  </si>
  <si>
    <t>Law mandates nondiscrimination based on gender in hiring (1=yes; 0=no)</t>
  </si>
  <si>
    <t>SG.LEG.DVAW</t>
  </si>
  <si>
    <t>Legislation exists on domestic violence (1=yes; 0=no)</t>
  </si>
  <si>
    <t>SG.MMR.LEVE.EP</t>
  </si>
  <si>
    <t>Mothers are guaranteed an equivalent position after maternity leave (1=yes; 0=no)</t>
  </si>
  <si>
    <t>SG.NOD.CONS</t>
  </si>
  <si>
    <t>Nondiscrimination clause mentions gender in the constitution (1=yes; 0=no)</t>
  </si>
  <si>
    <t>SG.VAW.MARR.ZS</t>
  </si>
  <si>
    <t>Spousal physical or sexual violence in last 12 months (%)</t>
  </si>
  <si>
    <t>SH.ANM.ALLW.ZS</t>
  </si>
  <si>
    <t>Prevalence of anemia among women of reproductive age (% of women ages 15-49)</t>
  </si>
  <si>
    <t>SH.FPL.SATM.ZS</t>
  </si>
  <si>
    <t>Demand for family planning satisfied by modern methods (% of married women with demand for family planning)</t>
  </si>
  <si>
    <t>SH.SGR.CRSK.ZS</t>
  </si>
  <si>
    <t>Risk of catastrophic expenditure for surgical care (% of people at risk)</t>
  </si>
  <si>
    <t>SH.SGR.IRSK.ZS</t>
  </si>
  <si>
    <t>Risk of impoverishing expenditure for surgical care (% of people at risk)</t>
  </si>
  <si>
    <t>SH.SGR.PROC.P5</t>
  </si>
  <si>
    <t>Number of surgical procedures (per 100,000 population)</t>
  </si>
  <si>
    <t>SH.STA.FGMS.ZS</t>
  </si>
  <si>
    <t>Female genital mutilation prevalence (%)</t>
  </si>
  <si>
    <t>SH.STA.ODFC.RU.ZS</t>
  </si>
  <si>
    <t>People practicing open defecation, rural (% of rural population)</t>
  </si>
  <si>
    <t>SH.STA.ODFC.UR.ZS</t>
  </si>
  <si>
    <t>People practicing open defecation, urban (% of urban population)</t>
  </si>
  <si>
    <t>SH.STA.ODFC.ZS</t>
  </si>
  <si>
    <t>People practicing open defecation (% of population)</t>
  </si>
  <si>
    <t>SH.STA.TRAF.P5</t>
  </si>
  <si>
    <t>Mortality caused by road traffic injury (per 100,000 people)</t>
  </si>
  <si>
    <t>SL.ISV.IFRM.FE.ZS</t>
  </si>
  <si>
    <t>Informal employment, female (% of total non-agricultural employment)</t>
  </si>
  <si>
    <t>SL.ISV.IFRM.MA.ZS</t>
  </si>
  <si>
    <t>Informal employment, male (% of total non-agricultural employment)</t>
  </si>
  <si>
    <t>SL.ISV.IFRM.ZS</t>
  </si>
  <si>
    <t>Informal employment (% of total non-agricultural employment)</t>
  </si>
  <si>
    <t>SP.DYN.CONM.ZS</t>
  </si>
  <si>
    <t>Contraceptive prevalence, modern methods (% of women ages 15-49)</t>
  </si>
  <si>
    <t>SP.M18.2024.FE.ZS</t>
  </si>
  <si>
    <t>Women who were first married by age 18 (% of women ages 20-24)</t>
  </si>
  <si>
    <t>BM.KLT.DINV.CD.WD</t>
  </si>
  <si>
    <t>Foreign direct investment, net outflows (BoP, current US$)</t>
  </si>
  <si>
    <t>BM.KLT.DINV.WD.GD.ZS</t>
  </si>
  <si>
    <t>Foreign direct investment, net outflows (% of GDP)</t>
  </si>
  <si>
    <t>Repeaters, secondary, male (% of male enrollment)</t>
  </si>
  <si>
    <t>Repeaters, secondary, total (% of total enrollment)</t>
  </si>
  <si>
    <t>WP_time_01.1</t>
  </si>
  <si>
    <t>Account at a financial institution (% age 15+)</t>
  </si>
  <si>
    <t>WP_time_01.2</t>
  </si>
  <si>
    <t>Account at a financial institution, male (% age 15+)</t>
  </si>
  <si>
    <t>WP_time_01.3</t>
  </si>
  <si>
    <t>Account at a financial institution, female (% age 15+)</t>
  </si>
  <si>
    <t>WP_time_01.8</t>
  </si>
  <si>
    <t>Account at a financial institution, income, poorest 40% (% ages 15+)</t>
  </si>
  <si>
    <t>WP_time_01.9</t>
  </si>
  <si>
    <t>Account at a financial institution, income, richest 60% (% ages 15+)</t>
  </si>
  <si>
    <t>WP15163_4.1</t>
  </si>
  <si>
    <t>Mobile account (% age 15+)</t>
  </si>
  <si>
    <t>WP15163_4.2</t>
  </si>
  <si>
    <t>Mobile account, male (% age 15+)</t>
  </si>
  <si>
    <t>WP15163_4.3</t>
  </si>
  <si>
    <t>Mobile account, female (% age 15+)</t>
  </si>
  <si>
    <t>WP15163_4.8</t>
  </si>
  <si>
    <t>Mobile account, income, poorest 40% (% ages 15+)</t>
  </si>
  <si>
    <t>WP15163_4.9</t>
  </si>
  <si>
    <t>Mobile account, income, richest 60% (% ages 15+)</t>
  </si>
  <si>
    <t>AG.LND.EL5M.RU.K2</t>
  </si>
  <si>
    <t>Rural land area where elevation is below 5 meters (sq. km)</t>
  </si>
  <si>
    <t>AG.LND.EL5M.RU.ZS</t>
  </si>
  <si>
    <t>Rural land area where elevation is below 5 meters (% of total land area)</t>
  </si>
  <si>
    <t>AG.LND.EL5M.UR.K2</t>
  </si>
  <si>
    <t>Urban land area where elevation is below 5 meters (sq. km)</t>
  </si>
  <si>
    <t>AG.LND.EL5M.UR.ZS</t>
  </si>
  <si>
    <t>Urban land area where elevation is below 5 meters (% of total land area)</t>
  </si>
  <si>
    <t>AG.LND.TOTL.RU.K2</t>
  </si>
  <si>
    <t>Rural land area (sq. km)</t>
  </si>
  <si>
    <t>AG.LND.TOTL.UR.K2</t>
  </si>
  <si>
    <t>Urban land area (sq. km)</t>
  </si>
  <si>
    <t>EN.ATM.GHGO.ZG</t>
  </si>
  <si>
    <t>Other greenhouse gas emissions (% change from 1990)</t>
  </si>
  <si>
    <t>EN.ATM.GHGT.KT.CE</t>
  </si>
  <si>
    <t>Total greenhouse gas emissions (kt of CO2 equivalent)</t>
  </si>
  <si>
    <t>EN.ATM.GHGT.ZG</t>
  </si>
  <si>
    <t>Total greenhouse gas emissions (% change from 1990)</t>
  </si>
  <si>
    <t>EN.ATM.METH.ZG</t>
  </si>
  <si>
    <t>Methane emissions (% change from 1990)</t>
  </si>
  <si>
    <t>EN.ATM.NOXE.EG.ZS</t>
  </si>
  <si>
    <t>EN.ATM.NOXE.ZG</t>
  </si>
  <si>
    <t>Nitrous oxide emissions (% change from 1990)</t>
  </si>
  <si>
    <t>EN.POP.EL5M.RU.ZS</t>
  </si>
  <si>
    <t>Rural population living in areas where elevation is below 5 meters (% of total population)</t>
  </si>
  <si>
    <t>EN.POP.EL5M.UR.ZS</t>
  </si>
  <si>
    <t>Urban population living in areas where elevation is below 5 meters (% of total population)</t>
  </si>
  <si>
    <t>ER.FSH.AQUA.MT</t>
  </si>
  <si>
    <t>Aquaculture production (metric tons)</t>
  </si>
  <si>
    <t>ER.FSH.CAPT.MT</t>
  </si>
  <si>
    <t>Capture fisheries production (metric tons)</t>
  </si>
  <si>
    <t>ER.FSH.PROD.MT</t>
  </si>
  <si>
    <t>Total fisheries production (metric tons)</t>
  </si>
  <si>
    <t>IC.LGL.PROC</t>
  </si>
  <si>
    <t>Procedures to enforce a contract (number)</t>
  </si>
  <si>
    <t>Merchandise exports to low- and middle-income economies outside region (% of total merchandise exports)</t>
  </si>
  <si>
    <t>Merchandise exports to low- and middle-income economies in East Asia &amp; Pacific (% of total merchandise exports)</t>
  </si>
  <si>
    <t>Merchandise exports to low- and middle-income economies in Europe &amp; Central Asia (% of total merchandise exports)</t>
  </si>
  <si>
    <t>Merchandise exports to low- and middle-income economies in Latin America &amp; the Caribbean (% of total merchandise exports)</t>
  </si>
  <si>
    <t>Merchandise exports to low- and middle-income economies in Middle East &amp; North Africa (% of total merchandise exports)</t>
  </si>
  <si>
    <t>Merchandise exports to low- and middle-income economies in South Asia (% of total merchandise exports)</t>
  </si>
  <si>
    <t>Merchandise exports to low- and middle-income economies in Sub-Saharan Africa (% of total merchandise exports)</t>
  </si>
  <si>
    <t>TX.VAL.MRCH.WR.ZS</t>
  </si>
  <si>
    <t>Merchandise exports to low- and middle-income economies within region (% of total merchandise exports)</t>
  </si>
  <si>
    <t>Merchandise imports from low- and middle-income economies outside region (% of total merchandise imports)</t>
  </si>
  <si>
    <t>Merchandise imports from low- and middle-income economies in East Asia &amp; Pacific (% of total merchandise imports)</t>
  </si>
  <si>
    <t>Merchandise imports from low- and middle-income economies in Europe &amp; Central Asia (% of total merchandise imports)</t>
  </si>
  <si>
    <t>Merchandise imports from low- and middle-income economies in Latin America &amp; the Caribbean (% of total merchandise imports)</t>
  </si>
  <si>
    <t>Merchandise imports from low- and middle-income economies in Middle East &amp; North Africa (% of total merchandise imports)</t>
  </si>
  <si>
    <t>Merchandise imports from low- and middle-income economies in South Asia (% of total merchandise imports)</t>
  </si>
  <si>
    <t>Merchandise imports from low- and middle-income economies in Sub-Saharan Africa (% of total merchandise imports)</t>
  </si>
  <si>
    <t>Merchandise imports from low- and middle-income economies within region (% of total merchandise imports)</t>
  </si>
  <si>
    <t>Merchandise exports to developing economies outside region (% of total merchandise exports)</t>
  </si>
  <si>
    <t>Merchandise exports to developing economies in East Asia &amp; Pacific (% of total merchandise exports)</t>
  </si>
  <si>
    <t>Merchandise exports to developing economies in Europe &amp; Central Asia (% of total merchandise exports)</t>
  </si>
  <si>
    <t>Merchandise exports to developing economies in Latin America &amp; the Caribbean (% of total merchandise exports)</t>
  </si>
  <si>
    <t>Merchandise exports to developing economies in Middle East &amp; North Africa (% of total merchandise exports)</t>
  </si>
  <si>
    <t>Merchandise exports to developing economies in South Asia (% of total merchandise exports)</t>
  </si>
  <si>
    <t>Merchandise exports to developing economies in Sub-Saharan Africa (% of total merchandise exports)</t>
  </si>
  <si>
    <t>Merchandise exports to developing economies within region (% of total merchandise exports)</t>
  </si>
  <si>
    <t>Merchandise imports from developing economies outside region (% of total merchandise imports)</t>
  </si>
  <si>
    <t>Merchandise imports from developing economies in East Asia &amp; Pacific (% of total merchandise imports)</t>
  </si>
  <si>
    <t>Merchandise imports from developing economies in Europe &amp; Central Asia (% of total merchandise imports)</t>
  </si>
  <si>
    <t>Merchandise imports from developing economies in Latin America &amp; the Caribbean (% of total merchandise imports)</t>
  </si>
  <si>
    <t>Merchandise imports from developing economies in Middle East &amp; North Africa (% of total merchandise imports)</t>
  </si>
  <si>
    <t>Merchandise imports from developing economies in South Asia (% of total merchandise imports)</t>
  </si>
  <si>
    <t>Merchandise imports from developing economies in Sub-Saharan Africa (% of total merchandise imports)</t>
  </si>
  <si>
    <t>Merchandise imports from developing economies within region (% of total merchandise imports)</t>
  </si>
  <si>
    <t>Education: Efficiency</t>
  </si>
  <si>
    <t>Education: Participation</t>
  </si>
  <si>
    <t>Demirguc-Kunt et al., 2015, Global Financial Inclusion Database, World Bank.</t>
  </si>
  <si>
    <t>Aquaculture is understood to mean the farming of aquatic organisms including fish, molluscs, crustaceans and aquatic plants. Aquaculture production specifically refers to output from aquaculture activities, which are designated for final harvest for consumption.</t>
  </si>
  <si>
    <t>Duration of compulsory education is the number of years that children are legally obliged to attend school.</t>
  </si>
  <si>
    <t>Preprimary duration refers to the number of grades (years) in preprimary school.</t>
  </si>
  <si>
    <t>Preprimary school pupil-teacher ratio is the average number of pupils per teacher in preprimary school.</t>
  </si>
  <si>
    <t>Trained teachers in preprimary education are the percentage of preprimary school teachers who have received the minimum organized teacher training (pre-service or in-service) required for teaching in a given country.</t>
  </si>
  <si>
    <t>Lower secondary school pupil-teacher ratio is the average number of pupils per teacher in lower secondary school.</t>
  </si>
  <si>
    <t>Upper secondary school pupil-teacher ratio is the average number of pupils per teacher in upper secondary school.</t>
  </si>
  <si>
    <t>Trained teachers in secondary education are the percentage of secondary school teachers who have received the minimum organized teacher training (pre-service or in-service) required for teaching in a given country.</t>
  </si>
  <si>
    <t>Trained teachers in lower secondary education are the percentage of lower secondary school teachers who have received the minimum organized teacher training (pre-service or in-service) required for teaching in a given country.</t>
  </si>
  <si>
    <t>Trained teachers in upper secondary education are the percentage of upper secondary school teachers who have received the minimum organized teacher training (pre-service or in-service) required for teaching in a given country.</t>
  </si>
  <si>
    <t>Tertiary school pupil-teacher ratio is the average number of pupils per teacher in tertiary school.</t>
  </si>
  <si>
    <t>Non-pregnant and non-nursing women can do the same jobs as men indicates whether there are specific jobs that women explicitly or implicitly cannot perform except in limited circumstances. Both partial and full restrictions on women’s work are counted as restrictions. For example, if women are only allowed to work in certain jobs within the mining industry, e.g., as health care professionals within mines but not as miners, this is a restriction.</t>
  </si>
  <si>
    <t>Law prohibits or invalidates child or early marriage is whether there are provisions that prevent the marriage of girls, boys, or both before they reach the legal age of marriage or the age of marriage with consent, including, for example, a prohibition on registering the marriage or provisions stating that such a marriage is null and void.</t>
  </si>
  <si>
    <t>Law mandates paid or unpaid maternity leave is whether there is a law mandating paid or unpaid maternity leave available only to the mother. Provisions for circumstantial leave by which an employee is entitled to a certain number of days of paid leave (usually fewer than five days) upon the birth of a child are considered paternity leave; even if the law is gender-neutral, such leave is not considered maternity leave if the law covers maternity leave elsewhere.</t>
  </si>
  <si>
    <t>Law mandates nondiscrimination based on gender in hiring is whether the law specifically prevents or penalizes gender-based discrimination in the hiring process; the law may prohibit discrimination in employment on the basis of gender but be silent about whether job applicants are protected from discrimination. Hiring refers to the process of employing a person for wages and making a selection by presenting a candidate with a job offer. Job advertisements, selection criteria and recruitment, although equally important, are not considered “hiring” for purposes of this question.</t>
  </si>
  <si>
    <t>Legislation exists on domestic violence is whether there is legislation addressing domestic violence: violence between spouses, within the family or members of the same household, or in interpersonal relationships, including intimate partner violence that is subject to criminal sanctions or provides for protection orders for domestic violence, or the legislation addresses “cruel, inhuman or degrading treatment” or “harassment” that clearly affects physical or mental health, and it is implied that such behavior is considered domestic violence.</t>
  </si>
  <si>
    <t>Mothers are guaranteed an equivalent position after maternity leave is whether employers of women returning from maternity leave are legally obligated to provide them with an equivalent position after maternity leave. It takes into account paid and unpaid maternity leave and captures whether the employer has a legal obligation to reinstate the returning employee in an equivalent or better position and salary than the employee had pre-leave. Where the maternity leave regime explicitly states that the employee may not be indefinitely replaced, the answer is assumed to be “Yes.” Where the maternity leave regime explicitly establishes a suspension of the employee’s contract, the answer is assumed to be “Yes.” In economies that also have parental leave and the law guarantees return after the leave to the same or an equivalent position paid at the same rate but is silent on guaranteeing the same position after maternity leave, the answer is “Yes.” The answer is “N/A” if no paid or unpaid maternity leave is available.</t>
  </si>
  <si>
    <t>Prevalence of anemia among women of reproductive age refers to the combined prevalence of both non-pregnant with haemoglobin levels below 12 g/dL and pregnant women with haemoglobin levels below 11 g/dL.</t>
  </si>
  <si>
    <t>Demand for family planning satisfied by modern methods refers to the percentage of married women ages 15-49 years whose need for family planning is satisfied with modern methods.</t>
  </si>
  <si>
    <t>The proportion of population at risk of impoverishing expenditure when surgical care is required. Impoverishing expenditure is definined as direct out of pocket payments for surgical and anaesthesia care which drive people below a poverty threshold (using a threshold of $1.25 PPP/day).</t>
  </si>
  <si>
    <t>The number of procedures undertaken in an operating theatre per 100,000 population per year in each country. A procedure is defined as the incision, excision, or manipulation of tissue that needs regional or general anaesthesia, or profound sedation to control pain.</t>
  </si>
  <si>
    <t>People practicing open defecation refers to the percentage of the population defecating in the open, such as in fields, forest, bushes, open bodies of water, on beaches, in other open spaces or disposed of with solid waste.</t>
  </si>
  <si>
    <t>Mortality caused by road traffic injury is estimated road traffic fatal injury deaths per 100,000 population.</t>
  </si>
  <si>
    <t>Employment in the informal economy as a percentage of total non-agricultural employment. It basically includes all jobs in unregistered and/or small-scale private unincorporated enterprises that produce goods or services meant for sale or barter. Self-employed street vendors, taxi drivers and home-base workers, regardless of size, are all considered enterprises. However, agricultural and related activities, households producing goods exclusively for their own use (e.g. subsistence farming, domestic housework, care work, and employment of paid domestic workers), and volunteer services rendered to the community are excluded.</t>
  </si>
  <si>
    <t>Women who were first married by age 18 refers to the percentage of women ages 20-24 who were first married by age 18.</t>
  </si>
  <si>
    <t>International Monetary Fund, Balance of Payments database, supplemented by data from the United Nations Conference on Trade and Development and official national sources.</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</si>
  <si>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Data are in current U.S. dollars.</t>
  </si>
  <si>
    <t>Account at a financial institution denotes the percentage of respondents who report having an account (by themselves or together with someone else) at a bank or another type of financial institution.</t>
  </si>
  <si>
    <t>Mobile account denotes the percentage of respondents who report personally using a mobile phone to pay bills or to send or receive money through a GSM Association (GSMA) Mobile Money for the Unbanked (MMU) service in the past 12 months; or receiving wages, government transfers, or payments for agricultural products through a mobile phone in the past 12 months.</t>
  </si>
  <si>
    <t>Rural population below 5m is the percentage of the total population, living in areas where the elevation is 5 meters or less.</t>
  </si>
  <si>
    <t>Urban population below 5m is the percentage of the total population, living in areas where the elevation is 5 meters or less.</t>
  </si>
  <si>
    <t>Law mandates equal remuneration for females and males for work of equal value is whether there is a law that obligates employers to pay equal remuneration to male and female employees who do work of equal value.“Remuneration” refers to the ordinary, basic or minimum wage or salary and any additional emoluments payable directly or indirectly, whether in cash or in kind, by the employer to the worker and arising out of the worker’s employment. “Work of equal value” refers not only to the same or similar jobs but also to different jobs of the same value.</t>
  </si>
  <si>
    <t>Nondiscrimination clause mentions gender in the constitution is whether there is a nondiscrimination clause in the constitution which mentions gender. For the answer to be “Yes,” the constitution must use either the word discrimination or the word nondiscrimination or even when there is a “clawback” provision granting exceptions to the nondiscrimination clause for certain areas of the law, such as inheritance, family and customary law. The answer is “No” if there is no nondiscrimination provision, or the nondiscrimination language is present in the preamble but not in an article of the constitution, or there is a provision that merely stipulates that the sexes are equal, or the sexes have equal rights and obligations. The answer is "N/A" if there is no nondiscrimination provision.</t>
  </si>
  <si>
    <t>The proportion of population at risk of catastrophic expenditure when surgical care is required. Catastrophic expenditure is definined as direct out of pocket payments for surgical and anaesthesia care exceeding 10% of total income.</t>
  </si>
  <si>
    <t>Contraceptive prevalence rate is the percentage of women who are practicing, or whose sexual partners are practicing, at least one modern method of contraception. It is usually measured for women ages 15-49 who are married or in union. Modern methods of contraception include female and male sterilization, oral hormonal pills, the intra-uterine device (IUD), the male condom, injectables, the implant (including Norplant), vaginal barrier methods, the female condom and emergency contraception.</t>
  </si>
  <si>
    <t>European Commission, Joint Research Centre (JRC)/Netherlands Environmental Assessment Agency (PBL). Emission Database for Global Atmospheric Research (EDGAR), EDGARv4.2 FT2012: http://edgar.jrc.ec.europa.eu/</t>
  </si>
  <si>
    <t>Food and Agriculture Organization.</t>
  </si>
  <si>
    <t>Stevens GA et al. Global, regional, and national trends in hemoglobin concentration and prevalence of total and severe anemia in children and pregnant and non-pregnant women for 1995-2011: a systematic analysis of population-representative data. The Lancet Global Health 2013;1:e16-e25.</t>
  </si>
  <si>
    <t>UNICEF Childinfo (childinfo.org).</t>
  </si>
  <si>
    <t>World Health Organization, Global Status Report on Road Safety.</t>
  </si>
  <si>
    <t>World Bank, Remittance Prices Worldwide, available at http://remittanceprices.worldbank.org</t>
  </si>
  <si>
    <t>Demographic and Health Surveys (DHS), Multiple Indicator Cluster Surveys (MICS), AIDS Indicator Surveys(AIS), Reproductive Health Survey(RHS), and other household surveys.</t>
  </si>
  <si>
    <t>Center for International Earth Science Information Network (CIESIN)/Columbia University. 2013. Urban-Rural Population and Land Area Estimates Version 2. Palisades, NY: NASA Socioeconomic Data and Applications Center (SEDAC). http://sedac.ciesin.columbia.edu/data/set/lecz-urban-rural-population-land-area-estimates-v2.</t>
  </si>
  <si>
    <t>World Bank staff estimates from original source: European Commission, Joint Research Centre (JRC)/Netherlands Environmental Assessment Agency (PBL). Emission Database for Global Atmospheric Research (EDGAR): http://edgar.jrc.ec.europa.eu/.</t>
  </si>
  <si>
    <t>The Lancet Commission on Global Surgery (www.lancetglobalsurgery.org).</t>
  </si>
  <si>
    <t>Demographic and Health Surveys (DHS).</t>
  </si>
  <si>
    <t>World Bank: Women, Business and the Law.</t>
  </si>
  <si>
    <t>Rural land area below 5m is the percentage of total land where the rural land elevation is 5 meters or less.</t>
  </si>
  <si>
    <t>Urban land area below 5m is the percentage of total land where the urban land elevation is 5 meters or less.</t>
  </si>
  <si>
    <t>Rural land area below 5m is the total rural land area in square kilometers where the elevation is 5 meters or less.</t>
  </si>
  <si>
    <t>Urban land area below 5m is the total urban land area in square kilometers where the elevation is 5 meters or less.</t>
  </si>
  <si>
    <t>Urban land area in square kilometers,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</si>
  <si>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</si>
  <si>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Total fisheries production measures the volume of aquatic species caught by a country for all commercial, industrial, recreational and subsistence purposes. The harvest from mariculture, aquaculture and other kinds of fish farming is also included.</t>
  </si>
  <si>
    <t>Capture fisheries production measures the volume of fish catches landed by a country for all commercial, industrial, recreational and subsistence purposes.</t>
  </si>
  <si>
    <t>Total greenhouse gas emissions are composed of CO2 totals excluding short-cycle biomass burning (such as agricultural waste burning and Savannah burning) but including other biomass burning (such as forest fires, post-burn decay, peat fires and decay of drained peatlands), all anthropogenic CH4 sources, N2O sources and F-gases (HFCs, PFCs and SF6). Each year of data shows the percentage change to that year from 1990.</t>
  </si>
  <si>
    <t>Total greenhouse gas emissions in kt of CO2 equivalent are composed of CO2 totals excluding short-cycle biomass burning (such as agricultural waste burning and Savannah burning) but including other biomass burning (such as forest fires, post-burn decay, peat fires and decay of drained peatlands), all anthropogenic CH4 sources, N2O sources and F-gases (HFCs, PFCs and SF6).</t>
  </si>
  <si>
    <t>Methane emissions are those stemming from human activities such as agriculture and from industrial methane production. Each year of data shows the percentage change to that year from 1990.</t>
  </si>
  <si>
    <t>Nitrous oxide emissions are emissions from agricultural biomass burning, industrial activities, and livestock management. Each year of data shows the percentage change to that year from 1990.</t>
  </si>
  <si>
    <t>Adolescents out of school are the percentage of lower secondary school age adolescents who are not enrolled in school.</t>
  </si>
  <si>
    <t>Children out of school are the percentage of primary-school-age children who are not enrolled in primary or secondary school. Children in the official primary age group that are in preprimary education should be considered out of school.</t>
  </si>
  <si>
    <t>Over-age students are the percentage of those enrolled who are older than the official school-age range for primary education.</t>
  </si>
  <si>
    <t>Female genital mutilation prevalence is the percentage of women aged 15–49 who have gone through partial or total removal of the female external genitalia or other injury to the female genital organs for cultural or other non-therapeutic reasons.</t>
  </si>
  <si>
    <t>Spousal physical or sexual violence is the percentage of ever-married women aged 15-49 who have experienced physical or sexual violence in the last 12 months committed by their husband or partner.</t>
  </si>
  <si>
    <t>Specialist surgical workforce is the number of specialist surgical, anaesthetic, and obstetric (SAO) providers who are working in each country per 100,000 population.</t>
  </si>
  <si>
    <t>Average transaction cost of remittances is the average of the total transaction cost in percentage for sending the local currency equivalent of US$ 200 charged by each single remittance service provider.</t>
  </si>
  <si>
    <t>Other greenhouse gas emissions are by-product emissions of hydrofluorocarbons, perfluorocarbons, and sulfur hexafluoride. Each year of data shows the percentage change to that year from 1990.</t>
  </si>
  <si>
    <t>SE.PRM.TCAQ.FE.ZS</t>
  </si>
  <si>
    <t>SE.PRM.TCAQ.MA.ZS</t>
  </si>
  <si>
    <t>SE.PRM.TCAQ.ZS</t>
  </si>
  <si>
    <t>Trained teachers in primary education are the percentage of primary school teachers who have received the minimum organized teacher training (pre-service or in-service) required for teaching in their country.</t>
  </si>
  <si>
    <t>Trained teachers in primary education are the percentage of primary school teachers who have received the minimum organized teacher training (pre-service or in-service) required for teaching in a given country.</t>
  </si>
  <si>
    <t>SE.PRM.ENRL.TC.ZS</t>
  </si>
  <si>
    <t>Primary school pupil-teacher ratio is the number of pupils enrolled in primary school divided by the number of primary school teachers (regardless of their teaching assignment).</t>
  </si>
  <si>
    <t>Primary school pupil-teacher ratio is the average number of pupils per teacher in primary school.</t>
  </si>
  <si>
    <t>GDP per person employed is gross domestic product (GDP) divided by total employment in the economy. Purchasing power parity (PPP) GDP is GDP converted to 2011 constant international dollars using PPP rates. An international dollar has the same purchasing power over GDP that a U.S. dollar has in the United States.</t>
  </si>
  <si>
    <t>GDP per person employed is gross domestic product (GDP) divided by total employment in the economy. Purchasing power parity (PPP) GDP is GDP converted to 1990 constant international dollars using PPP rates. An international dollar has the same purchasing power over GDP that a U.S. dollar has in the United States.</t>
  </si>
  <si>
    <t>Adult mortality rate is the probability of dying between the ages of 15 and 60--that is, the probability of a 15-year-old dying before reaching age 60, if subject to current age-specific mortality rates between those ages.</t>
  </si>
  <si>
    <t>Contraceptive prevalence rate is the percentage of women who are practicing, or whose sexual partners are practicing, any form of contraception. It is usually measured for married women ages 15-49 only.</t>
  </si>
  <si>
    <t>Adult mortality rate is the probability of dying between the ages of 15 and 60--that is, the probability of a 15-year-old dying before reaching age 60, if subject to age-specific mortality rates of the specified year between those ages.</t>
  </si>
  <si>
    <t>Contraceptive prevalence rate is the percentage of women who are practicing, or whose sexual partners are practicing, any form of contraception. It is usually measured for women ages 15-49 who are married or in union.</t>
  </si>
  <si>
    <t>Total fertility rate represents the number of children that would be born to a woman if she were to live to the end of her childbearing years and bear children in accordance with current age-specific fertility rates.</t>
  </si>
  <si>
    <t>Survival to age 65 refers to the percentage of a cohort of newborn infants that would survive to age 65, if subject to current age specific mortality rates.</t>
  </si>
  <si>
    <t>Total fertility rate represents the number of children that would be born to a woman if she were to live to the end of her childbearing years and bear children in accordance with age-specific fertility rates of the specified year.</t>
  </si>
  <si>
    <t>Survival to age 65 refers to the percentage of a cohort of newborn infants that would survive to age 65, if subject to age specific mortality rates of the specified year.</t>
  </si>
  <si>
    <t>SP.URB.TOTL.IN.ZS</t>
  </si>
  <si>
    <t>Urban population refers to people living in urban areas as defined by national statistical offices. It is calculated using World Bank population estimates and urban ratios from the United Nations World Urbanization Prospects.</t>
  </si>
  <si>
    <t>Urban population refers to people living in urban areas as defined by national statistical offices. The data are collected and smoothed by United Nations Population Division.</t>
  </si>
  <si>
    <t>Brauer, M. et al. 2016. “Ambient Air Pollution Exposure Estimation for the Global Burden of Disease 2013.” Environmental Science &amp; Technology 50, no. 1: 79–88.</t>
  </si>
  <si>
    <t>United Nations Educational, Scientific, and Cultural Organization (UNESCO), special data collection for the Education for All Initiative.</t>
  </si>
  <si>
    <t>World Bank staff estimates based on age distributions of United Nations Population Division's World Population Prospects.</t>
  </si>
  <si>
    <t>Stevens GA, Finucane MM, De-Regil LM, et al. Global, regional, and national trends in hemoglobin concentration and prevalence of total and severe anemia in children and pregnant and non-pregnant women for 1995-2011: a systematic analysis of population-representative data. The Lancet Global Health 2013; 1(1): e16-e25.</t>
  </si>
  <si>
    <t>World Bank staff estimates based on male/female distributions of United Nations Population Division's World Population Prospects.</t>
  </si>
  <si>
    <t>Repeaters, secondary, female (% of female enrollment)</t>
  </si>
  <si>
    <t>GDP per person employed (constant 1990 PPP $)</t>
  </si>
  <si>
    <t>Contraceptive prevalence (% of women ages 15-49)</t>
  </si>
  <si>
    <t>Merchandise imports from low- and middle-income economies outside region are the sum of merchandise imports by the reporting economy from other low- and middle-income economies in other World Bank regions according to the World Bank classification of economies. Data are expressed as a percentage of total merchandise imports by the economy. Data are computed only if at least half of the economies in the partner country group had non-missing data.</t>
  </si>
  <si>
    <t>Merchandise imports from low- and middle-income economies in East Asia and Pacific are the sum of merchandise imports by the reporting economy from low- and middle-income economies in the East Asia and Pacific region according to the World Bank classification of economies. Data are expressed as a percentage of total merchandise imports by the economy. Data are computed only if at least half of the economies in the partner country group had non-missing data.</t>
  </si>
  <si>
    <t>Merchandise imports from low- and middle-income economies in Europe and Central Asia are the sum of merchandise imports by the reporting economy from low- and middle-income economies in the Europe and Central Asia region according to the World Bank classification of economies. Data are expressed as a percentage of total merchandise imports by the economy. Data are computed only if at least half of the economies in the partner country group had non-missing data.</t>
  </si>
  <si>
    <t>Merchandise imports from low- and middle-income economies in Latin America and the Caribbean are the sum of merchandise imports by the reporting economy from low- and middle-income economies in the Latin America and the Caribbean region according to the World Bank classification of economies. Data are expressed as a percentage of total merchandise imports by the economy. Data are computed only if at least half of the economies in the partner country group had non-missing data.</t>
  </si>
  <si>
    <t>Merchandise imports from low- and middle-income economies in Middle East and North Africa are the sum of merchandise imports by the reporting economy from low- and middle-income economies in the Middle East and North Africa region according to the World Bank classification of economies. Data are expressed as a percentage of total merchandise imports by the economy. Data are computed only if at least half of the economies in the partner country group had non-missing data.</t>
  </si>
  <si>
    <t>Merchandise imports from low- and middle-income economies in South Asia are the sum of merchandise imports by the reporting economy from low- and middle-income economies in the South Asia region according to the World Bank classification of economies. Data are expressed as a percentage of total merchandise imports by the economy. Data are computed only if at least half of the economies in the partner country group had non-missing data.</t>
  </si>
  <si>
    <t>Merchandise imports from low- and middle-income economies in Sub-Saharan Africa are the sum of merchandise imports by the reporting economy from low- and middle-income economies in the Sub-Saharan Africa region according to the World Bank classification of economies. Data are expressed as a percentage of total merchandise imports by the economy. Data are computed only if at least half of the economies in the partner country group had non-missing data.</t>
  </si>
  <si>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</si>
  <si>
    <t>Merchandise exports to low- and middle-income economies outside region are the sum of merchandise exports from the reporting economy to other low- and middle-income economies in other World Bank regions according to the World Bank classification of economies. Data are expressed as a percentage of total merchandise exports by the economy. Data are computed only if at least half of the economies in the partner country group had non-missing data.</t>
  </si>
  <si>
    <t>Merchandise exports to low- and middle-income economies in East Asia and Pacific are the sum of merchandise exports from the reporting economy to low- and middle-income economies in the East Asia and Pacific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</si>
  <si>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in Europe and Central Asia are the sum of merchandise exports from the reporting economy to low- and middle-income economies in the Europe and Central Asia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</si>
  <si>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in Latin America and the Caribbean are the sum of merchandise exports from the reporting economy to low- and middle-income economies in the Latin America and the Caribbean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</si>
  <si>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in Middle East and North Africa are the sum of merchandise exports from the reporting economy to low- and middle-income economies in the Middle East and North Africa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</si>
  <si>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in South Asia are the sum of merchandise exports from the reporting economy to low- and middle-income economies in the South Asia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</si>
  <si>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in Sub-Saharan Africa are the sum of merchandise exports from the reporting economy to low- and middle-income economies in the Sub-Saharan Africa region according to World Bank classification of economies. Data are as a percentage of total merchandise exports by the economy. Data are computed only if at least half of the economies in the partner country group had non-missing data.</t>
  </si>
  <si>
    <t>Merchandise exports to low- and middle-income economies within region are the sum of merchandise exports from the reporting economy to other low- and middle-income economies in the same World Bank region as a percentage of total merchandise exports by the economy. Data are computed only if at least half of the economies in the partner country group had non-missing data. No figures are shown for high-income economies, because they are a separate category in the World Bank classification of economies.</t>
  </si>
  <si>
    <t>Merchandise exports to developing economies within region are the sum of merchandise exports from the reporting economy to other developing economies in the same World Bank region as a percentage of total merchandise exports by the economy. Data are computed only if at least half of the economies in the partner country group had non-missing data. No figures are shown for high-income economies, because they are a separate category in the World Bank classification of economies.</t>
  </si>
  <si>
    <t>Nitrous oxide emissions in energy sector (% of total)</t>
  </si>
  <si>
    <t>Net official development assistance and official aid received (constant 2013 US$)</t>
  </si>
  <si>
    <t>Net official aid received (constant 2013 US$)</t>
  </si>
  <si>
    <t>Net official development assistance received (constant 2013 US$)</t>
  </si>
  <si>
    <t>11 April 2016: Full update of development data to coincide with publication of the World Development Indicators 2016 book. New indicators include those for urban and rural land area, greenhouse gas emissions, fisheries, financial inclusion, education, health, and gender. Government finance data are now based on the 2014 GFS Manual.</t>
  </si>
  <si>
    <t>See other worksheets in this Excel file for a list of series changes since previous versions.</t>
  </si>
  <si>
    <t>14 April 2016: A minor update was processed to add grants and health expenditure data for 2014, and forest area as a percentage of land area data for 2015. Male and total life expectancy figures for the United States and aggregate groups have been corrected for 2003. Aggregate data for homicides per 100,000 people have also been revised.</t>
  </si>
  <si>
    <t>EN.POP.SLUM.UR.ZS</t>
  </si>
  <si>
    <t>Population living in slums (% of urban population)</t>
  </si>
  <si>
    <t xml:space="preserve">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and durability of housing.
</t>
  </si>
  <si>
    <t>UN HABITAT, retrieved from the United Nation's Millennium Development Goals database. Data are available at : http://mdgs.un.org/</t>
  </si>
  <si>
    <t>Environment: Density &amp; urbanization</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</si>
  <si>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t>
  </si>
  <si>
    <t>Data on health impacts from exposure to ambient PM2.5 pollution and household air pollution are from the Global Burden of Disease 2013 study. Data are provided by the Institute for Health Metrics and Evaluation at the University of Washington.</t>
  </si>
  <si>
    <t>2 May, 2016: A minor update was processed to revise and update national poverty, adjusted savings, and aggregate forest indicators. Missing data for value added shares for United Arab Emirates have also been added.</t>
  </si>
  <si>
    <t>NY.GDS.TOTL.KN</t>
  </si>
  <si>
    <t>Gross domestic savings (constant LCU)</t>
  </si>
  <si>
    <t>10 May, 2016: A minor update was processed to correct stock market index data for 2015 for France, Germany, and the United Kingdom, stocks traded for United Arab Emirates for 2014, world surface area for 2015, and international migrant stock as a percentage of the population for Northern Mariana Islands for 2010. Missing data for net FDI outflows and the consumer price index have also been added.</t>
  </si>
  <si>
    <t>SE.SEC.ENRL.TC.ZS</t>
  </si>
  <si>
    <t>Secondary school pupil-teacher ratio is the average number of pupils per teacher in secondary school.</t>
  </si>
  <si>
    <t xml:space="preserve">1 June, 2016: A minor update was processed to correct 1994 poverty data for Philippines; and 2012 births attended by skilled health staff data for Republic of Congo, Tanzania, and related aggregate groups. Other corrections were made to Angola's DEC alternative conversion factor and related national accounts data for 1985 to 1997; Oman's data for GNI and net income from abroad from 2008 to 2014; and 2005 historical PPP conversion factors (those with ".05" extensions) to express them in the latest local currency units for Latvia (euros), Liberia (US$), and Lithuania (euros). Data for high-technology exports and migrants have also been updated. </t>
  </si>
  <si>
    <t>14 June, 2016: A minor update was processed to correct 2015 statistical capacity indicator data for Brazil; military expenditure data from 1988 to 1993 for the Democratic Republic of Congo; and related aggregate calculations for these two sets of indicators. Data for forestry and air traffic indicators have also been updated.</t>
  </si>
  <si>
    <t>Agriculture value added per worker (constant 2010 US$)</t>
  </si>
  <si>
    <t>CO2 emissions (kg per 2010 US$ of GDP)</t>
  </si>
  <si>
    <t>Water productivity, total (constant 2010 US$ GDP per cubic meter of total freshwater withdrawal)</t>
  </si>
  <si>
    <t>General government final consumption expenditure (constant 2010 US$)</t>
  </si>
  <si>
    <t>Household final consumption expenditure, etc. (constant 2010 US$)</t>
  </si>
  <si>
    <t>Household final consumption expenditure (constant 2010 US$)</t>
  </si>
  <si>
    <t>Household final consumption expenditure per capita (constant 2010 US$)</t>
  </si>
  <si>
    <t>Final consumption expenditure, etc. (constant 2010 US$)</t>
  </si>
  <si>
    <t>Final consumption expenditure (constant 2010 US$)</t>
  </si>
  <si>
    <t>Gross national expenditure (constant 2010 US$)</t>
  </si>
  <si>
    <t>Exports of goods and services (constant 2010 US$)</t>
  </si>
  <si>
    <t>Gross fixed capital formation (constant 2010 US$)</t>
  </si>
  <si>
    <t>Gross capital formation (constant 2010 US$)</t>
  </si>
  <si>
    <t>Imports of goods and services (constant 2010 US$)</t>
  </si>
  <si>
    <t>Agriculture, value added (constant 2010 US$)</t>
  </si>
  <si>
    <t>Manufacturing, value added (constant 2010 US$)</t>
  </si>
  <si>
    <t>Industry, value added (constant 2010 US$)</t>
  </si>
  <si>
    <t>Services, etc., value added (constant 2010 US$)</t>
  </si>
  <si>
    <t>Adjusted net national income (constant 2010 US$)</t>
  </si>
  <si>
    <t>Adjusted net national income per capita (constant 2010 US$)</t>
  </si>
  <si>
    <t>Gross value added at factor cost (constant 2010 US$)</t>
  </si>
  <si>
    <t>GDP (constant 2010 US$)</t>
  </si>
  <si>
    <t>GDP per capita (constant 2010 US$)</t>
  </si>
  <si>
    <t>Gross domestic income (constant 2010 US$)</t>
  </si>
  <si>
    <t>GNI (constant 2010 US$)</t>
  </si>
  <si>
    <t>GNI per capita (constant 2010 US$)</t>
  </si>
  <si>
    <t>Agriculture value added per worker is a measure of agricultural productivity. Value added in agriculture measures the output of the agricultural sector (ISIC divisions 1-5) less the value of intermediate inputs. Agriculture comprises value added from forestry, hunting, and fishing as well as cultivation of crops and livestock production. Data are in constant 2010 U.S. dollars.</t>
  </si>
  <si>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 Data are in constant 2010 U.S. dollars.</t>
  </si>
  <si>
    <t>Annual percentage growth of general government final consumption expenditure based on constant local currency. Aggregates are based on constant 2010 U.S. dollars. General government final consumption expenditure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</si>
  <si>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This item also includes any statistical discrepancy in the use of resources relative to the supply of resources. Data are in constant 2010 U.S. dollars.</t>
  </si>
  <si>
    <t>Annual percentage growth of household final consumption expenditure is based on constant local currency. Aggregates are based on constant 2010 U.S. dollars. 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This item also includes any statistical discrepancy in the use of resources relative to the supply of resources.</t>
  </si>
  <si>
    <t>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Data are in constant 2010 U.S. dollars.</t>
  </si>
  <si>
    <t>Annual percentage growth of household final consumption expenditure based on constant local currency. Aggregates are based on constant 2010 U.S. dollars. Household final consumption expenditure (formerly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t>
  </si>
  <si>
    <t>Household final consumption expenditure per capita (private consumption per capita) is calculated using private consumption in constant 2010 prices and World Bank population estimates. Household final consumption expenditure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 Data are in constant 2010 U.S. dollars.</t>
  </si>
  <si>
    <t>Annual percentage growth of household final consumption expenditure per capita, which is calculated using household final consumption expenditure in constant 2010 prices and World Bank population estimates. Household final consumption expenditure (private consumption) is the market value of all goods and services, including durable products (such as cars, washing machines, and home computers), purchased by households. It excludes purchases of dwellings but includes imputed rent for owner-occupied dwellings. It also includes payments and fees to governments to obtain permits and licenses. Here, household consumption expenditure includes the expenditures of nonprofit institutions serving households, even when reported separately by the country.</t>
  </si>
  <si>
    <t>Final consumption expenditure (formerly total consumption) is the sum of household final consumption expenditure (formerly private consumption) and general government final consumption expenditure (formerly general government consumption). This estimate includes any statistical discrepancy in the use of resources relative to the supply of resources. Data are in constant 2010 U.S. dollars.</t>
  </si>
  <si>
    <t>Average annual growth of final consumption expenditure based on constant local currency. Aggregates are based on constant 2010 U.S. dollars. Final consumption expenditure (formerly total consumption) is the sum of household final consumption expenditure (formerly private consumption) and general government final consumption expenditure (formerly general government consumption). This estimate includes any statistical discrepancy in the use of resources relative to the supply of resources.</t>
  </si>
  <si>
    <t>Final consumption expenditure (formerly total consumption) is the sum of household final consumption expenditure (formerly private consumption) and general government final consumption expenditure (formerly general government consumption). Data are in constant 2010 U.S. dollars.</t>
  </si>
  <si>
    <t>Gross national expenditure (formerly domestic absorption) is the sum of household final consumption expenditure (formerly private consumption), general government final consumption expenditure (formerly general government consumption), and gross capital formation (formerly gross domestic investment). Data are in constant 2010 U.S. dollars.</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</si>
  <si>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2010 U.S. dollars.</t>
  </si>
  <si>
    <t>Annual growth rate of exports of goods and services based on constant local currency. Aggregates are based on constant 2010 U.S. dollars. 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</si>
  <si>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Gross fixed capital formation (formerly gross domestic fixed investment) includes land improvements (fences, ditches, drains, and so on); plant, machinery, and equipment purchases; and the construction of roads, railways, and the like, including schools, offices, hospitals, private residential dwellings, and commercial and industrial buildings. According to the 1993 SNA, net acquisitions of valuables are also considered capital formation. Data are in constant 2010 U.S. dollars.</t>
  </si>
  <si>
    <t>Average annual growth of gross fixed capital formation based on constant local currency. Aggregates are based on constant 2010 U.S. dollars. Gross fixed capital formation (formerly gross domestic fixed investment) includes land improvements (fences, ditches, drains, and so on); plant, machinery, and equipment purchases; and the construction of roads, railways, and the like, including schools, offices, hospitals, private residential dwellings, and commercial and industrial buildings. According to the 1993 SNA, net acquisitions of valuables are also considered capital formation.</t>
  </si>
  <si>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 Data are in constant 2010 U.S. dollars.</t>
  </si>
  <si>
    <t>Annual growth rate of gross capital formation based on constant local currency. Aggregates are based on constant 2010 U.S. dollars. 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1993 SNA, net acquisitions of valuables are also considered capital formation.</t>
  </si>
  <si>
    <t>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2010 U.S. dollars.</t>
  </si>
  <si>
    <t>Annual growth rate of imports of goods and services based on constant local currency. Aggregates are based on constant 2010 U.S. dollars. Imports of goods and services represent the value of all goods and other market services received from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t>
  </si>
  <si>
    <t>Agriculture corresponds to ISIC divisions 1-5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Data are in constant 2010 U.S. dollars.</t>
  </si>
  <si>
    <t>Annual growth rate for agricultural value added based on constant local currency. Aggregates are based on constant 2010 U.S. dollars. Agriculture corresponds to ISIC divisions 1-5 and includes forestry, hunting, and fishing, as well as cultivation of crops and livestock production.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t>
  </si>
  <si>
    <t>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Data are expressed constant 2010 U.S. dollars.</t>
  </si>
  <si>
    <t>Annual growth rate for manufacturing value added based on constant local currency. Aggregates are based on constant 2010 U.S. dollars. Manufacturing refers to industries belonging to ISIC divisions 15-37.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t>
  </si>
  <si>
    <t>Industry corresponds to ISIC divisions 10-45 and includes manufacturing (ISIC divisions 15-37). It comprises value added in mining, manufacturing (also reported as a separate subgroup), construction, electricity, water, and gas.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 Data are in constant 2010 U.S. dollars.</t>
  </si>
  <si>
    <t>Annual growth rate for industrial value added based on constant local currency. Aggregates are based on constant 2010 U.S. dollars. Industry corresponds to ISIC divisions 10-45 and includes manufacturing (ISIC divisions 15-37). It comprises value added in mining, manufacturing (also reported as a separate subgroup), construction, electricity, water, and gas. Value added is the net output of a sector after adding up all outputs and subtracting intermediate inputs. It is calculated without making deductions for depreciation of fabricated assets or depletion and degradation of natural resources. The origin of value added is determined by the International Standard Industrial Classification (ISIC), revision 3.</t>
  </si>
  <si>
    <t>Services correspond to ISIC divisions 50-99.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 Data are in constant 2010 U.S. dollars.</t>
  </si>
  <si>
    <t>Annual growth rate for value added in services based on constant local currency. Aggregates are based on constant 2010 U.S. dollars. Services correspond to ISIC divisions 50-99.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3.</t>
  </si>
  <si>
    <t>Gross value added at factor cost (formerly GDP at factor cost) is derived as the sum of the value added in the agriculture, industry and services sectors. If the value added of these sectors is calculated at purchaser values, gross value added at factor cost is derived by subtracting net product taxes from GDP. Data are in constant 2010 U.S. dollars.</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</si>
  <si>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2010 U.S. dollars. Dollar figures for GDP are converted from domestic currencies using 2010 official exchange rates. For a few countries where the official exchange rate does not reflect the rate effectively applied to actual foreign exchange transactions, an alternative conversion factor is used.</t>
  </si>
  <si>
    <t>Annual percentage growth rate of GDP at market prices based on constant local currency. Aggregates are based on constant 2010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</si>
  <si>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2010 U.S. dollars.</t>
  </si>
  <si>
    <t>Annual percentage growth rate of GDP per capita based on constant local currency. Aggregates are based on constant 2010 U.S. dollars.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</si>
  <si>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Gross domestic income is derived as the sum of GDP and the terms of trade adjustment. Data are in constant 2010 U.S. dollars.</t>
  </si>
  <si>
    <t>GNI (formerly GNP) is the sum of value added by all resident producers plus any product taxes (less subsidies) not included in the valuation of output plus net receipts of primary income (compensation of employees and property income) from abroad. Data are in constant 2010 U.S. dollars.</t>
  </si>
  <si>
    <t>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 Data are in constant 2010 U.S. dollars.</t>
  </si>
  <si>
    <t>Annual percentage growth rate of GNI per capita based on constant local currency. Aggregates are based on constant 2010 U.S. dollars. GNI per capita is gross national income divided by midyear population. GNI (formerly GNP) is the sum of value added by all resident producers plus any product taxes (less subsidies) not included in the valuation of output plus net receipts of primary income (compensation of employees and property income) from abroad.</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</si>
  <si>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2005 U.S. dollars. Dollar figures for GDP are converted from domestic currencies using 2005 official exchange rates. For a few countries where the official exchange rate does not reflect the rate effectively applied to actual foreign exchange transactions, an alternative conversion factor is used.</t>
  </si>
  <si>
    <t>FM.LBL.MONY.CN</t>
  </si>
  <si>
    <t>FM.LBL.MQMY.CN</t>
  </si>
  <si>
    <t>FM.LBL.MQMY.GD.ZS</t>
  </si>
  <si>
    <t>FM.LBL.MQMY.IR.ZS</t>
  </si>
  <si>
    <t>FM.LBL.MQMY.ZG</t>
  </si>
  <si>
    <t>FM.LBL.QMNY.CN</t>
  </si>
  <si>
    <t>Money (current LCU)</t>
  </si>
  <si>
    <t>Money and quasi money (M2) (current LCU)</t>
  </si>
  <si>
    <t>Money and quasi money (M2) as % of GDP</t>
  </si>
  <si>
    <t>Money and quasi money (M2) to total reserves ratio</t>
  </si>
  <si>
    <t>Money and quasi money growth (annual %)</t>
  </si>
  <si>
    <t>Quasi money (current LCU)</t>
  </si>
  <si>
    <t>FS.LBL.QLIQ.GD.ZS</t>
  </si>
  <si>
    <t>Liquid liabilities (M3) as % of GDP</t>
  </si>
  <si>
    <t>Quasi-liquid liabilities (% of GDP)</t>
  </si>
  <si>
    <t>Annual population growth rate for year t is the exponential rate of growth of midyear population from year t-1 to t, expressed as a percentage . Population is based on the de facto definition of population, which counts all residents regardless of legal status or citizenship--except for refugees not permanently settled in the country of asylum, who are generally considered part of the population of the country of origin.</t>
  </si>
  <si>
    <t>Total population is based on the de facto definition of population, which counts all residents regardless of legal status or citizenship--except for refugees not permanently settled in the country of asylum, who are generally considered part of the population of their country of origin. The values shown are midyear estimates.</t>
  </si>
  <si>
    <t>Total population between the ages 15 to 64 as a percentage of the total population. Population is based on the de facto definition of population, which counts all residents regardless of legal status or citizenship.</t>
  </si>
  <si>
    <t>Annual population growth rate for year t is the exponential rate of growth of midyear population from year t-1 to t, expressed as a percentage . Population is based on the de facto definition of population, which counts all residents regardless of legal status or citizenship.</t>
  </si>
  <si>
    <t>Total population is based on the de facto definition of population, which counts all residents regardless of legal status or citizenship. The values shown are midyear estimates.</t>
  </si>
  <si>
    <t>Female population is the percentage of the population that is female. Population is based on the de facto definition of population, which counts all residents regardless of legal status or citizenship.</t>
  </si>
  <si>
    <t>Population ages 65 and above as a percentage of the total population. Population is based on the de facto definition of population, which counts all residents regardless of legal status or citizenship.</t>
  </si>
  <si>
    <t xml:space="preserve">5 July, 2016: 2015 data (plus revised historical data, where necessary) for all countries and groups for population-, GDP- and GNI-related indicators have been released. Other data that have been updated include balance of payments, monetary indicators, CPIA indicators, military expenditure, merchandise trade, and foreign direct investment. Constant US dollar national accounts series are now based in 2010 prices. Country classification hierarchies and group aggregate data reflect new fiscal year 2017 income classifications. (Note: Argentina, which was classified as high income in FY16, is temporarily unclassified pending the expected release of revised national accounts statistics.) </t>
  </si>
  <si>
    <t>8 July, 2016: An update was processed to correct the scale of national accounts GDP components for Iceland, Ireland, Japan, Switzerland, and United States from 2010 to 2015; constant price GNI and GNI per capita (including PPP), GNI growth rates, and current price net income from abroad for United States from 2013 to 2015; constant price GDP and GDP per capita, GDP growth rates, Atlas method GNI per capita, GDP deflator, and inflation for Isle of Man for years before 2010; and related aggregate calculations for these sets of indicators. Official exchange rate data for 2014 and 2015 have also been restored.</t>
  </si>
  <si>
    <t>19 July, 2016: An update was processed to correct balance of payments data that were misaligned by one year for all countries and aggregates, and to add correct balance of payments data for 2015. Liberia's monetary data for 2015, and related aggregate calculations for low income, IDA, and HIPC countries, and Russian Federation's net transfers from abroad from 2007 to 2014, were also corrected.</t>
  </si>
  <si>
    <t>22 July, 2016: An update was processed to revise Zambia's GDP growth rates and related national accounts and PPP data from 2011 to 2015.</t>
  </si>
  <si>
    <t>12 July, 2016: 2015 world values for gross capital formation, gross domestic savings, gross fixed capital formation, gross savings, and household final consumption expenditure as shares of GDP or GNI were removed; they were misleading because there are no 2015 data available yet for China and India and aggregate shares for these indicators are not gap-filled.</t>
  </si>
  <si>
    <t>10 August, 2016: An update was processed for all monetary series, including corrections for reserves including gold and domestic credit to the private sector by banks, for 2015 and recent historical years. Other corrections were made for gross fixed capital formation in constant local currency, U.S. dollars, and growth rate for Ukraine for 2013 and 2014; listed domestic companies for the United States in 1983; and high-technology exports for Hong Kong SAR, China for 2014 and 2015. Related aggregate data were also revised.</t>
  </si>
  <si>
    <t>SG.VAW.1549.ZS</t>
  </si>
  <si>
    <t>Proportion of women subjected to physical and/or sexual violence in the last 12 months ( % of women age 15-49)</t>
  </si>
  <si>
    <t>SH.HIV.INCD.ZS</t>
  </si>
  <si>
    <t>Incidence of HIV (% of uninfected population ages 15-49)</t>
  </si>
  <si>
    <t>SH.HIV.INCD</t>
  </si>
  <si>
    <t>Adults (ages 15+) newly infected with HIV</t>
  </si>
  <si>
    <t>SH.HIV.INCD.14</t>
  </si>
  <si>
    <t>Children (ages 0-14) newly infected with HIV</t>
  </si>
  <si>
    <t>SH.HIV.INCD.TL</t>
  </si>
  <si>
    <t>Adults (ages 15+) and children (ages 0-14) newly infected with HIV</t>
  </si>
  <si>
    <t>SH.HIV.PMTC.ZS</t>
  </si>
  <si>
    <t>Antiretroviral therapy coverage for PMTCT (% of pregnant women living with HIV)</t>
  </si>
  <si>
    <t>SG.DMK.ALLD.FN.ZS</t>
  </si>
  <si>
    <t>Women participating in the three decisions (own health care, major household purchases, and visiting family) (% of women age 15-49)</t>
  </si>
  <si>
    <t>SH.IMM.HEPB</t>
  </si>
  <si>
    <t>Immunization, HepB3 (% of one-year-old children)</t>
  </si>
  <si>
    <t>SE.PRM.CUAT.ZS</t>
  </si>
  <si>
    <t>Educational attainment, at least completed primary, population 25+ years, total (%) (cumulative)</t>
  </si>
  <si>
    <t>SE.PRM.CUAT.FE.ZS</t>
  </si>
  <si>
    <t>Educational attainment, at least completed primary, population 25+ years, female (%) (cumulative)</t>
  </si>
  <si>
    <t>SE.PRM.CUAT.MA.ZS</t>
  </si>
  <si>
    <t>Educational attainment, at least completed primary, population 25+ years, male (%) (cumulative)</t>
  </si>
  <si>
    <t>SE.SEC.CUAT.LO.ZS</t>
  </si>
  <si>
    <t>Educational attainment, at least completed lower secondary, population 25+, total (%) (cumulative)</t>
  </si>
  <si>
    <t>SE.SEC.CUAT.LO.FE.ZS</t>
  </si>
  <si>
    <t>Educational attainment, at least completed lower secondary, population 25+, female (%) (cumulative)</t>
  </si>
  <si>
    <t>SE.SEC.CUAT.LO.MA.ZS</t>
  </si>
  <si>
    <t>Educational attainment, at least completed lower secondary, population 25+, male (%) (cumulative)</t>
  </si>
  <si>
    <t>SE.SEC.CUAT.UP.ZS</t>
  </si>
  <si>
    <t>Educational attainment, at least completed upper secondary, population 25+, total (%) (cumulative)</t>
  </si>
  <si>
    <t>SE.SEC.CUAT.UP.FE.ZS</t>
  </si>
  <si>
    <t>Educational attainment, at least completed upper secondary, population 25+, female (%) (cumulative)</t>
  </si>
  <si>
    <t>SE.SEC.CUAT.UP.MA.ZS</t>
  </si>
  <si>
    <t>Educational attainment, at least completed upper secondary, population 25+, male (%) (cumulative)</t>
  </si>
  <si>
    <t>SE.SEC.CUAT.PO.ZS</t>
  </si>
  <si>
    <t>Educational attainment, at least completed post-secondary, population 25+, total (%) (cumulative)</t>
  </si>
  <si>
    <t>SE.SEC.CUAT.PO.FE.ZS</t>
  </si>
  <si>
    <t>Educational attainment, at least completed post-secondary, population 25+, female (%) (cumulative)</t>
  </si>
  <si>
    <t>SE.SEC.CUAT.PO.MA.ZS</t>
  </si>
  <si>
    <t>Educational attainment, at least completed post-secondary, population 25+, male (%) (cumulative)</t>
  </si>
  <si>
    <t>SE.TER.CUAT.ST.ZS</t>
  </si>
  <si>
    <t>SE.TER.CUAT.ST.FE.ZS</t>
  </si>
  <si>
    <t>SE.TER.CUAT.ST.MA.ZS</t>
  </si>
  <si>
    <t>SE.TER.CUAT.BA.ZS</t>
  </si>
  <si>
    <t>SE.TER.CUAT.BA.FE.ZS</t>
  </si>
  <si>
    <t>SE.TER.CUAT.BA.MA.ZS</t>
  </si>
  <si>
    <t>SE.TER.CUAT.MS.ZS</t>
  </si>
  <si>
    <t>SE.TER.CUAT.MS.FE.ZS</t>
  </si>
  <si>
    <t>SE.TER.CUAT.MS.MA.ZS</t>
  </si>
  <si>
    <t>SE.TER.CUAT.DO.ZS</t>
  </si>
  <si>
    <t>SE.TER.CUAT.DO.FE.ZS</t>
  </si>
  <si>
    <t>SE.TER.CUAT.DO.MA.ZS</t>
  </si>
  <si>
    <t>Proportion of women subjected to physical and/or sexual violence in the last 12 months is the percentage of ever partnered women age 15-49 who are subjected to physical violence, sexual violence or both by a current or former intimate partner in the last 12 months.</t>
  </si>
  <si>
    <t>United Nations Statistics Division (UNSD)</t>
  </si>
  <si>
    <t>Number of new HIV infections among uninfected populations ages 15-49 expressed as percentage.</t>
  </si>
  <si>
    <t>Number of adults (ages 15+) newly infected with HIV.</t>
  </si>
  <si>
    <t>Number of children (ages 0-14) newly infected with HIV.</t>
  </si>
  <si>
    <t>Number of adults (ages 15+) and children (ages 0-14) newly infected with HIV.</t>
  </si>
  <si>
    <t>Percentage of pregnant women with HIV who receive antiretroviral medicine for prevention of mother-to-child transmission (PMTCT).</t>
  </si>
  <si>
    <t>Demographic and Health Surveys (DHS)</t>
  </si>
  <si>
    <t>Child immunization rate, hepatitis B is the percentage of children ages 12-23 months who received vaccinations before 12 months or at any time before the survey. A child is considered adequately immunized after three doses.</t>
  </si>
  <si>
    <t>The percentage of population ages 25 and over that attained or completed primary education.</t>
  </si>
  <si>
    <t>The percentage of population ages 25 and over that attained or completed lower secondary education.</t>
  </si>
  <si>
    <t>The percentage of population ages 25 and over that attained or completed upper secondary education.</t>
  </si>
  <si>
    <t>The percentage of population ages 25 and over that attained or completed post-secondary non-tertiary education.</t>
  </si>
  <si>
    <t>The percentage of population ages 25 and over that attained or completed short-cycle tertiary education.</t>
  </si>
  <si>
    <t>The percentage of population ages 25 and over that attained or completed Bachelor's or equivalent.</t>
  </si>
  <si>
    <t>The percentage of population ages 25 and over that attained or completed Master's or equivalent.</t>
  </si>
  <si>
    <t>The percentage of population ages 25 and over that attained or completed Doctoral or equivalent.</t>
  </si>
  <si>
    <t>Information and communication technology goods imports include telecommunications, audio and video, computer and related equipment; electronic components; and other information and communication technology goods. Software is excluded.</t>
  </si>
  <si>
    <t>Information and communication technology goods exports include telecommunications, audio and video, computer and related equipment; electronic components; and other information and communication technology goods. Software is excluded.</t>
  </si>
  <si>
    <t>Information and communication technology goods imports include computers and peripheral equipment, communication equipment, consumer electronic equipment, electronic components, and other information and technology goods (miscellaneous).</t>
  </si>
  <si>
    <t>Information and communication technology goods exports include computers and peripheral equipment, communication equipment, consumer electronic equipment, electronic components, and other information and technology goods (miscellaneous).</t>
  </si>
  <si>
    <t>Population below minimum level of dietary energy consumption (also referred to as prevalence of undernourishment) shows the percentage of the population whose food intake is insufficient to meet dietary energy requirements continuously. Data showing as 2.5 signifies a prevalence of undernourishment below 2.5%.</t>
  </si>
  <si>
    <t>Population below minimum level of dietary energy consumption (also referred to as prevalence of undernourishment) shows the percentage of the population whose food intake is insufficient to meet dietary energy requirements continuously. Data showing as 5 signifies a prevalence of undernourishment below 5%.</t>
  </si>
  <si>
    <t>4 October, 2016: Data have been updated for international poverty and shared prosperity indicators, balance of payments series, monetary indicators, Enterprise Surveys, FDI and portfolio equity flows, remittances, and indicators for education, health expenditure, HIV, immunization, CO2 emissions, statistical capacity, telecommunications, threatened species, private participation in infrastructure, research and development, intentional homicides, and battle -related deaths. New indicators have been added for HIV, gender, and educational attainment. Argentina, which was temporarily unclassified in July 2016 pending release of revised national accounts statistics, is classified as upper middle income for FY17 based on alternative conversion factors. OECD group data have been updated to reflect the addition of Latvia.</t>
  </si>
  <si>
    <t>Poverty headcount ratio at $3.10 a day is the percentage of the population living on less than $3.10 a day at 2011 international prices. As a result of revisions in PPP exchange rates, poverty rates for individual countries cannot be compared with poverty rates reported in earlier editions.</t>
  </si>
  <si>
    <t>Poverty headcount ratio at $1.90 a day is the percentage of the population living on less than $1.90 a day at 2011 international prices. As a result of revisions in PPP exchange rates, poverty rates for individual countries cannot be compared with poverty rates reported in earlier editions.</t>
  </si>
  <si>
    <t>Poverty gap at $3.10 a day (2011 PPP) is the mean shortfall in income or consumption from the poverty line $3.10 a day (counting the nonpoor as having zero shortfall), expressed as a percentage of the poverty line. This measure reflects the depth of poverty as well as its incidence. As a result of revisions in PPP exchange rates, poverty rates for individual countries cannot be compared with poverty rates reported in earlier editions.</t>
  </si>
  <si>
    <t>Poverty gap at $1.90 a day (2011 PPP) is the mean shortfall in income or consumption from the poverty line $1.90 a day (counting the nonpoor as having zero shortfall), expressed as a percentage of the poverty line. This measure reflects the depth of poverty as well as its incidence. As a result of revisions in PPP exchange rates, poverty rates for individual countries cannot be compared with poverty rates reported in earlier editions.</t>
  </si>
  <si>
    <t>World Bank, Global Database of Shared Prosperity (GDSP) circa 2008 - 2013 (http://www.worldbank.org/en/topic/poverty/brief/global-database-of-shared-prosperity).</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</si>
  <si>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2011 Purchasing Power Parity (PPP) using the PovcalNet (http://iresearch.worldbank.org/PovcalNet).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 The final year refers to the most recent survey available between 2011 and 2015.
Growth rates for Iraq are based on survey means of 2005 PPP$. The coverage and quality of the 2011 PPP price data for Iraq and most other North African and Middle Eastern countries were hindered by the exceptional period of instability they faced at the time of the 2011 exercise of the International Comparison Program. See PovcalNet for detailed explanations.</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</si>
  <si>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2011 Purchasing Power Parity (PPP) using the PovcalNet (http://iresearch.worldbank.org/PovcalNet).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 The final year refers to the most recent survey available between 2011 and 2015.
Growth rates for Iraq are based on survey means of 2005 PPP$. The coverage and quality of the 2011 PPP price data for Iraq and most other North African and Middle Eastern countries were hindered by the exceptional period of instability they faced at the time of the 2011 exercise of the International Comparison Program. See PovcalNet for detailed explanations.</t>
  </si>
  <si>
    <t>14 October, 2016: An update was processed for national poverty and child mortality series, and to add 2016 data for Enterprise Surveys and women in parliament and 2014 data for freshwater resources and withdrawals. 2015 world values in U.S. dollars for gross capital formation, gross domestic savings, gross fixed capital formation, gross savings, and household final consumption expenditure were removed; they were misleading because there are no 2015 data available yet for China and India and implicitly gap-filled aggregate values did not properly reflect expected trends.</t>
  </si>
  <si>
    <t>IC.REG.COST.PC.FE.ZS</t>
  </si>
  <si>
    <t>IC.REG.COST.PC.MA.ZS</t>
  </si>
  <si>
    <t>IC.REG.DURS.FE</t>
  </si>
  <si>
    <t>IC.REG.DURS.MA</t>
  </si>
  <si>
    <t>IC.REG.PROC.FE</t>
  </si>
  <si>
    <t>IC.REG.PROC.MA</t>
  </si>
  <si>
    <t>Cost to register a business is normalized by presenting it as a percentage of gross national income (GNI) per capita.</t>
  </si>
  <si>
    <t>Time required to start a business is the number of calendar days needed to complete the procedures to legally operate a business. If a procedure can be speeded up at additional cost, the fastest procedure, independent of cost, is chosen.</t>
  </si>
  <si>
    <t>Start-up procedures are those required to start a business, including interactions to obtain necessary permits and licenses and to complete all inscriptions, verifications, and notifications to start operations. Data are for businesses with specific characteristics of ownership, size, and type of production.</t>
  </si>
  <si>
    <t>Ease of doing business ranks economies from 1 to 190, with first place being the best. A high ranking (a low numerical rank) means that the regulatory environment is conducive to business operation. The index averages the country's percentile rankings on 10 topics covered in the World Bank's Doing Business. The ranking on each topic is the simple average of the percentile rankings on its component indicators.</t>
  </si>
  <si>
    <t>17 November, 2016: Data have been updated for Doing Business indicators, and series related to fertilizer consumption, ambient PM2.5 air pollution, population in largest city, and population in urban agglomerations of more than 1 million. World aggregate data for greenhouse gases series, surface area, and land area have been revised. Monetary data for Cyprus from 2001 to 2004, and market capitalization data for Slovak Republic from 1993 to 2006, were also corrected. Purchasing power parity data for Argentina have been restored and updated.</t>
  </si>
  <si>
    <t>Brauer, M. et al. 2016, for the Global Burden of Disease Study 2015.</t>
  </si>
  <si>
    <t>GC.LBL.TOTL.CN</t>
  </si>
  <si>
    <t>Net incurrence of liabilities, total (current LCU)</t>
  </si>
  <si>
    <t>GC.NLD.TOTL.CN</t>
  </si>
  <si>
    <t>Net lending (+) / net borrowing (-) (current LCU)</t>
  </si>
  <si>
    <t>GC.AST.TOTL.CN</t>
  </si>
  <si>
    <t>Net acquisition of financial assets (current LCU)</t>
  </si>
  <si>
    <t>GC.LBL.TOTL.GD.ZS</t>
  </si>
  <si>
    <t>Net incurrence of liabilities, total (% of GDP)</t>
  </si>
  <si>
    <t>GC.NLD.TOTL.GD.ZS</t>
  </si>
  <si>
    <t>Net lending (+) / net borrowing (-) (% of GDP)</t>
  </si>
  <si>
    <t>GC.AST.TOTL.GD.ZS</t>
  </si>
  <si>
    <t>Net acquisition of financial assets (% of GDP)</t>
  </si>
  <si>
    <t>GC.FIN.DOMS.CN</t>
  </si>
  <si>
    <t>Net incurrence of liabilities, domestic (current LCU)</t>
  </si>
  <si>
    <t>GC.FIN.DOMS.GD.ZS</t>
  </si>
  <si>
    <t>Net incurrence of liabilities, domestic (% of GDP)</t>
  </si>
  <si>
    <t>GC.FIN.FRGN.CN</t>
  </si>
  <si>
    <t>Net incurrence of liabilities, foreign (current LCU)</t>
  </si>
  <si>
    <t>GC.FIN.FRGN.GD.ZS</t>
  </si>
  <si>
    <t>Net incurrence of liabilities, foreign (% of GDP)</t>
  </si>
  <si>
    <t>ER.BDV.TOTL.XQ</t>
  </si>
  <si>
    <t>GEF benefits index for biodiversity (0 = no biodiversity potential to 100 = maximum)</t>
  </si>
  <si>
    <t>SI.RMT.COST.IB.ZS</t>
  </si>
  <si>
    <t>Average transaction cost of sending remittances to a specific country (%)</t>
  </si>
  <si>
    <t>SI.RMT.COST.OB.ZS</t>
  </si>
  <si>
    <t>Average transaction cost of sending remittances from a specific country (%)</t>
  </si>
  <si>
    <t>SH.ALC.PCAP.LI</t>
  </si>
  <si>
    <t>Total alcohol consumption per capita (liters of pure alcohol, projected estimates, 15+ years of age)</t>
  </si>
  <si>
    <t>SH.MLR.INCD.P3</t>
  </si>
  <si>
    <t>Incidence of malaria (per 1,000 population at risk)</t>
  </si>
  <si>
    <t>SH.DYN.NCOM.ZS</t>
  </si>
  <si>
    <t>Mortality from CVD, cancer, diabetes or CRD between exact ages 30 and 70 (%)</t>
  </si>
  <si>
    <t>SH.STA.SUIC.P5</t>
  </si>
  <si>
    <t>Suicide mortality rate (per 100,000 population)</t>
  </si>
  <si>
    <t>Contributing family workers (% of employed)</t>
  </si>
  <si>
    <t>Employers, female (% of female employment)</t>
  </si>
  <si>
    <t>Employers, male (% of male employment)</t>
  </si>
  <si>
    <t>Employers, total (% of total employment)</t>
  </si>
  <si>
    <t>Self-employed, female (% of female employment)</t>
  </si>
  <si>
    <t>Self-employed, male (% of male employment)</t>
  </si>
  <si>
    <t>Self-employed, total (% of total employment)</t>
  </si>
  <si>
    <t>Wage and salaried workers, female (% of female employment)</t>
  </si>
  <si>
    <t>Wage and salaried workers, male (% of male employment)</t>
  </si>
  <si>
    <t>Wage and salaried workers, total (% of total employment)</t>
  </si>
  <si>
    <t>Contributing family workers, female (% of female employment)</t>
  </si>
  <si>
    <t>Contributing family workers, male (% of male employment)</t>
  </si>
  <si>
    <t>Contributing family workers, total (% of total employment)</t>
  </si>
  <si>
    <t>World Health Organization, Global Health Observatory Data Repository/World Health Statistics (http://apps.who.int/ghodata/).</t>
  </si>
  <si>
    <t>Suicide mortality rate is the number of suicide deaths in a year per 100,000 population.</t>
  </si>
  <si>
    <t>Incidence of malaria is the number of new cases of malaria in a year per 1,000 population at risk.</t>
  </si>
  <si>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</si>
  <si>
    <t>International Monetary Fund, Government Finance Statistics Yearbook and data files.</t>
  </si>
  <si>
    <t>Public Sector: Government finance: Deficit &amp; financing</t>
  </si>
  <si>
    <t>Total alcohol consumption per capita is based on projections for the amount of alcohol consumption (liters of pure alcohol) per person ages 15+ per year.</t>
  </si>
  <si>
    <t xml:space="preserve">Average transaction cost of sending remittance to a specific country is the simple average of the total transaction cost in percentage for sending USD 200 charged by each single remittance service provider (RSP) included in the Remittance Prices Worldwide (RPW) database to a specific country. </t>
  </si>
  <si>
    <t xml:space="preserve">Average transaction cost of sending remittance from a specific country is the simple average of the total transaction cost in percentage for sending USD 200 charged by each single remittance service provider (RSP) included in the Remittance Prices Worldwide (RPW) database from a specific country. </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</si>
  <si>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</si>
  <si>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t>
  </si>
  <si>
    <t>GC.BAL.CASH.CN</t>
  </si>
  <si>
    <t>Cash surplus/deficit (current LCU)</t>
  </si>
  <si>
    <t>GC.BAL.CASH.GD.ZS</t>
  </si>
  <si>
    <t>Cash surplus/deficit (% of GDP)</t>
  </si>
  <si>
    <t>GC.NFN.TOTL.CN</t>
  </si>
  <si>
    <t>GC.NFN.TOTL.GD.ZS</t>
  </si>
  <si>
    <t>Net investment in nonfinancial assets (% of GDP)</t>
  </si>
  <si>
    <t>Net investment in nonfinancial assets (current LCU)</t>
  </si>
  <si>
    <t>Net acquisition of government financial assets includes domestic and foreign financial claims, SDRs, and gold bullion held by monetary authorities as a reserve asset. The net acquisition of financial assets should be offset by the net incurrence of liabilities.</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</si>
  <si>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t>
  </si>
  <si>
    <t>16 December, 2016: This release features new external debt data from the International Debt Statistics database, and revised data for national accounts, PPP series, balance of payments, FDI inflows, remittances, and monetary indicators. Updates have also been made for government finance indicators, malnutrition series, education aggregates, Enterprise Surveys, commercial banks, refugees, high-technology exports, and other trade-related indicators. IDA and IBRD group data have been adjusted to reflect Syrian Arab Republic's reclassification as an IDA only country.</t>
  </si>
  <si>
    <t>Time required to start a business, female (days)</t>
  </si>
  <si>
    <t>Time required to start a business, male (days)</t>
  </si>
  <si>
    <t>Cost of business start-up procedures, female (% of GNI per capita)</t>
  </si>
  <si>
    <t>Cost of business start-up procedures, male (% of GNI per capita)</t>
  </si>
  <si>
    <t>Start-up procedures to register a business, female (number)</t>
  </si>
  <si>
    <t>Start-up procedures to register a business, male (number)</t>
  </si>
  <si>
    <t>Educational attainment, at least completed short-cycle tertiary, population 25+, total (%) (cumulative)</t>
  </si>
  <si>
    <t>Educational attainment, at least completed short-cycle tertiary, population 25+, female (%) (cumulative)</t>
  </si>
  <si>
    <t>Educational attainment, at least completed short-cycle tertiary, population 25+, male (%) (cumulative)</t>
  </si>
  <si>
    <t>Educational attainment, at least Bachelor's or equivalent, population 25+, total (%) (cumulative)</t>
  </si>
  <si>
    <t>Educational attainment, at least Bachelor's or equivalent, population 25+, female (%) (cumulative)</t>
  </si>
  <si>
    <t>Educational attainment, at least Bachelor's or equivalent, population 25+, male (%) (cumulative)</t>
  </si>
  <si>
    <t>Educational attainment, at least Master's or equivalent, population 25+, total (%) (cumulative)</t>
  </si>
  <si>
    <t>Educational attainment, at least Master's or equivalent, population 25+, female (%) (cumulative)</t>
  </si>
  <si>
    <t>Educational attainment, at least Master's or equivalent, population 25+, male (%) (cumulative)</t>
  </si>
  <si>
    <t>Educational attainment, Doctoral or equivalent, population 25+, total (%) (cumulative)</t>
  </si>
  <si>
    <t>Educational attainment, Doctoral or equivalent, population 25+, female (%) (cumulative)</t>
  </si>
  <si>
    <t>Educational attainment, Doctoral or equivalent, population 25+, male (%) (cumulative)</t>
  </si>
  <si>
    <t>21 December, 2016: A minor update was processed to correct government finance data (including military spending as a percentage of central government expenditure) for Japan and Spain, debt data for China, and related aggregate calculations for these sets of indicators.</t>
  </si>
  <si>
    <t>28 December, 2016: A minor update was processed to revise historical data for Doing Business indicators for Bangladesh, Brazil, China, India, Indonesia, Japan, Mexico, Nigeria, Pakistan, Russian Federation, and United States, and related aggregates.</t>
  </si>
  <si>
    <t>3 January, 2017: A minor update was processed to correct additional government finance data for Japan and Spain, and related aggregates.</t>
  </si>
  <si>
    <t>1 February, 2017: A update was processed to revise PPP data for OECD/Eurostat countries and related aggregates. Revisions were also made for land area indicators, air freight, total greenhouse gases, and national accounts data for Japan.  Indicators for social protection and labor and for natural resource rents have been updated for 2015 and revised for historical years.</t>
  </si>
  <si>
    <t>Women participating in the three decisions (own health care, major household purchases, and visiting family) is the percentage of currently married women aged 15-49 who say that they alone or jointly have the final say in all of the three decisions (own health care, large purchases and visits to family, relatives, and friends).</t>
  </si>
  <si>
    <t>TM.VAL.AGRI.CD.UN</t>
  </si>
  <si>
    <t>World Bank staff estimates from the Comtrade database maintained by the United Nations Statistics Division.</t>
  </si>
  <si>
    <t>World Bank staff estimates through the WITS platform from the Comtrade database maintained by the United Nations Statistics Division.</t>
  </si>
  <si>
    <t>TM.VAL.AGRI.ZS.UN</t>
  </si>
  <si>
    <t>TM.VAL.FOOD.CD.UN</t>
  </si>
  <si>
    <t>TM.VAL.FOOD.ZS.UN</t>
  </si>
  <si>
    <t>TM.VAL.FUEL.CD.UN</t>
  </si>
  <si>
    <t>TM.VAL.FUEL.ZS.UN</t>
  </si>
  <si>
    <t>TM.VAL.MANF.CD.UN</t>
  </si>
  <si>
    <t>TM.VAL.MANF.ZS.UN</t>
  </si>
  <si>
    <t>TM.VAL.MMTL.CD.UN</t>
  </si>
  <si>
    <t>TM.VAL.MMTL.ZS.UN</t>
  </si>
  <si>
    <t>TM.VAL.MRCH.CD.UN</t>
  </si>
  <si>
    <t>TX.VAL.AGRI.CD.UN</t>
  </si>
  <si>
    <t>TX.VAL.AGRI.ZS.UN</t>
  </si>
  <si>
    <t>TX.VAL.FOOD.CD.UN</t>
  </si>
  <si>
    <t>TX.VAL.FOOD.ZS.UN</t>
  </si>
  <si>
    <t>TX.VAL.FUEL.CD.UN</t>
  </si>
  <si>
    <t>TX.VAL.FUEL.ZS.UN</t>
  </si>
  <si>
    <t>TX.VAL.MANF.CD.UN</t>
  </si>
  <si>
    <t>TX.VAL.MANF.ZS.UN</t>
  </si>
  <si>
    <t>TX.VAL.MMTL.CD.UN</t>
  </si>
  <si>
    <t>TX.VAL.MMTL.ZS.UN</t>
  </si>
  <si>
    <t>TX.VAL.MRCH.CD.UN</t>
  </si>
  <si>
    <t>TX.VAL.TECH.CD</t>
  </si>
  <si>
    <t>United Nations, Comtrade database.</t>
  </si>
  <si>
    <t>United Nations, Comtrade database through the WITS platform.</t>
  </si>
  <si>
    <t>TX.VAL.TECH.MF.ZS</t>
  </si>
  <si>
    <t>SL.AGR.0714.FE.ZS</t>
  </si>
  <si>
    <t>SL.AGR.0714.MA.ZS</t>
  </si>
  <si>
    <t>SL.AGR.0714.ZS</t>
  </si>
  <si>
    <t>SL.MNF.0714.FE.ZS</t>
  </si>
  <si>
    <t>SL.MNF.0714.MA.ZS</t>
  </si>
  <si>
    <t>SL.MNF.0714.ZS</t>
  </si>
  <si>
    <t>SL.SRV.0714.FE.ZS</t>
  </si>
  <si>
    <t>SL.SRV.0714.MA.ZS</t>
  </si>
  <si>
    <t>SL.SRV.0714.ZS</t>
  </si>
  <si>
    <t>Employment by economic activity refers to the distribution of economically active children by the major industrial categories (ISIC revision 2 or revision 3). Agriculture corresponds to division 1 (ISIC revision 2) or categories A and B (ISIC revision 3) and includes agriculture and hunting, forestry and logging, and fishing. Economically active children refer to children involved in economic activity for at least one hour in the reference week of the survey.</t>
  </si>
  <si>
    <t>Employment by economic activity refers to the distribution of economically active children by the major industrial categories of the International Standard Industrial Classification (ISIC). Agriculture corresponds to division 1 (ISIC revision 2), categories A and B (ISIC revision 3), or category A (ISIC revision 4) and includes hunting, forestry, and fishing. Economically active children refer to children involved in economic activity for at least one hour in the reference week of the survey.</t>
  </si>
  <si>
    <t>Employment by economic activity refers to the distribution of economically active children by the major industrial categories (ISIC revision 2 or revision 3). Manufacturing corresponds to division 3 (ISIC revision 2) or category D (ISIC revision 3). Economically active children refer to children involved in economic activity for at least one hour in the reference week of the survey.</t>
  </si>
  <si>
    <t>Employment by economic activity refers to the distribution of economically active children by the major industrial categories of the International Standard Industrial Classification (ISIC). Manufacturing corresponds to division 3 (ISIC revision 2), category D (ISIC revision 3), or category C (ISIC revision 4). Economically active children refer to children involved in economic activity for at least one hour in the reference week of the survey.</t>
  </si>
  <si>
    <t>Employment by economic activity refers to the distribution of economically active children by the major industrial categories (ISIC revision 2 or revision 3). Services correspond to divisions 6-9 (ISIC revision 2) or categories G-P (ISIC revision 3) and include wholesale and retail trade, hotels and restaurants, transport, financial intermediation, real estate, public administration, education, health and social work, other community services, and private household activity. Economically active children refer to children involved in economic activity for at least one hour in the reference week of the survey.</t>
  </si>
  <si>
    <t>Employment by economic activity refers to the distribution of economically active children by the major industrial categories of the International Standard Industrial Classification (ISIC). Services correspond to divisions 6-9 (ISIC revision 2), categories G-P (ISIC revision 3), or categories G-U (ISIC revision 4). Services include wholesale and retail trade, hotels and restaurants, transport, financial intermediation, real estate, public administration, education, health and social work, other community services, and private household activity. Economically active children refer to children involved in economic activity for at least one hour in the reference week of the survey.</t>
  </si>
  <si>
    <t>DT.NFL.FAOG.CD</t>
  </si>
  <si>
    <t>DT.NFL.ILOG.CD</t>
  </si>
  <si>
    <t>IP.TMK.NRCT</t>
  </si>
  <si>
    <t>IP.TMK.RSCT</t>
  </si>
  <si>
    <t>IP.IDS.NRCT</t>
  </si>
  <si>
    <t>IP.IDS.RSCT</t>
  </si>
  <si>
    <t>IC.EXP.CSBC.CD</t>
  </si>
  <si>
    <t>IC.EXP.CSDC.CD</t>
  </si>
  <si>
    <t>IC.IMP.CSBC.CD</t>
  </si>
  <si>
    <t>IC.IMP.CSDC.CD</t>
  </si>
  <si>
    <t>IC.EXP.TMBC</t>
  </si>
  <si>
    <t>IC.EXP.TMDC</t>
  </si>
  <si>
    <t>IC.IMP.TMBC</t>
  </si>
  <si>
    <t>IC.IMP.TMDC</t>
  </si>
  <si>
    <t>Net official flows from UN agencies, FAO (current US$)</t>
  </si>
  <si>
    <t>Net official flows from UN agencies, ILO (current US$)</t>
  </si>
  <si>
    <t>Trademark applications, nonresident, by count</t>
  </si>
  <si>
    <t>Trademark applications, resident, by count</t>
  </si>
  <si>
    <t>Industrial design applications, nonresident, by count</t>
  </si>
  <si>
    <t>Industrial design applications, resident, by count</t>
  </si>
  <si>
    <t>Cost to export, border compliance (US$)</t>
  </si>
  <si>
    <t>Cost to export, documentary compliance (US$)</t>
  </si>
  <si>
    <t>Cost to import, border compliance (US$)</t>
  </si>
  <si>
    <t>Cost to import, documentary compliance (US$)</t>
  </si>
  <si>
    <t>Time to export, border compliance (hours)</t>
  </si>
  <si>
    <t>Time to export, documentary compliance (hours)</t>
  </si>
  <si>
    <t>Time to import, border compliance (hours)</t>
  </si>
  <si>
    <t>Time to import, documentary compliance (hours)</t>
  </si>
  <si>
    <t>World Intellectual Property Organization (WIPO), Statistics Database at www.wipo.int/ipstats/. The International Bureau of WIPO assumes no responsibility with respect to the transformation of these data.</t>
  </si>
  <si>
    <t>Infrastructure: Technology</t>
  </si>
  <si>
    <t>Private Sector &amp; Trade: Trade facilitation</t>
  </si>
  <si>
    <t>Trademark applications filed are applications to register a trademark with a national or regional Intellectual Property (IP) offices and designations received by relevant offices through the Madrid System. A trademark is a distinctive sign which identifies certain goods or services as those produced or provided by a specific person or enterprise. A trademark provides protection to the owner of the mark by ensuring the exclusive right to use it to identify goods or services, or to authorize another to use it in return for payment. The period of protection varies, but a trademark can be renewed indefinitely beyond the time limit on payment of additional fees. Non-resident application refers to an application filed with the IP office of or acting on behalf of a state or jurisdiction in which the first-named applicant in the application is not domiciled. Class count is used to render application data for trademark applications across offices comparable, as some offices follow a single-class/single-design filing system while other have a multiple class/design filing system.</t>
  </si>
  <si>
    <t>Trademark applications filed are applications to register a trademark with a national or regional Intellectual Property (IP) offices and designations received by relevant offices through the Madrid System. A trademark is a distinctive sign which identifies certain goods or services as those produced or provided by a specific person or enterprise. A trademark provides protection to the owner of the mark by ensuring the exclusive right to use it to identify goods or services, or to authorize another to use it in return for payment. The period of protection varies, but a trademark can be renewed indefinitely beyond the time limit on payment of additional fees. Resident application refers to an application filed with the IP office of or acting on behalf of the state or jurisdiction in which the first-named applicant in the application has residence. Class count is used to render application data for trademark applications across offices comparable, as some offices follow a single-class/single-design filing system while other have a multiple class/design filing system.</t>
  </si>
  <si>
    <t>Industrial design applications are applications to register an industrial design with a national or regional Intellectual Property (IP) offices and designations received by relevant offices through the Hague System.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for most jurisdictions. However, differences in legislation do exist, notably in China (which provides for a 10-year term from the application date). Non-resident application refers to an application filed with the IP office of or acting on behalf of a state or jurisdiction in which the first-named applicant in the application is not domiciled. Design count is used to render application data for industrial applications across offices comparable, as some offices follow a single-class/single-design filing system while other have a multiple class/design filing system.</t>
  </si>
  <si>
    <t>Industrial design applications are applications to register an industrial design with a national or regional Intellectual Property (IP) offices and designations received by relevant offices through the Hague System.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for most jurisdictions. However, differences in legislation do exist, notably in China (which provides for a 10-year term from the application date). Resident application refers to an application filed with the IP office of or acting on behalf of the state or jurisdiction in which the first-named applicant in the application has residence. Design count is used to render application data for industrial applications across offices comparable, as some offices follow a single-class/single-design filing system while other have a multiple class/design filing system.</t>
  </si>
  <si>
    <t>Border compliance captures the time and cost associated with compliance with the economy’s customs regulations and with regulations relating to other inspections that are mandatory in order for the shipment to cross the economy’s border, as well as the time and cost for handling that takes place at its port or border. The time and cost for this segment include time and cost for customs clearance and inspection procedures conducted by other government agencies.</t>
  </si>
  <si>
    <t>Documentary compliance captures the time and cost associated with compliance with the documentary requirements of all government agencies of the origin economy, the destination economy and any transit economies. The aim is to measure the total burden of preparing the bundle of documents that will enable completion of the international trade for the product and partner pair assumed in the case study.</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</si>
  <si>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 United Nations Peacebuilding Fund (UNPBF), International Atomic Energy Agency (IAEA), Wolrd Health Organization (WHO), United Nations Economic Commission for Europe (UNECE), Food and Agriculture Organization of the United Nations (FAO), and International Labour Organization (ILO). Data are in current U.S. dollars.</t>
  </si>
  <si>
    <t>IT.NET.USER.P2</t>
  </si>
  <si>
    <t>Internet users (per 100 people)</t>
  </si>
  <si>
    <t>Individuals using the Internet (% of population)</t>
  </si>
  <si>
    <t>Infrastructure: Communications</t>
  </si>
  <si>
    <t>EG.CFT.ACCS.ZS</t>
  </si>
  <si>
    <t>Access to clean fuels and technologies for cooking  (% of population)</t>
  </si>
  <si>
    <t>NY.GDP.DEFL.KD.ZG.AD</t>
  </si>
  <si>
    <t>Inflation, GDP deflator: linked series (annual %)</t>
  </si>
  <si>
    <t>NY.GDP.DEFL.ZS.AD</t>
  </si>
  <si>
    <t>GDP deflator: linked series (base year varies by country)</t>
  </si>
  <si>
    <t>NY.GDP.MKTP.CN.AD</t>
  </si>
  <si>
    <t>GDP at market prices: linked series (current LCU)</t>
  </si>
  <si>
    <t>Inflation as measured by the annual growth rate of the GDP implicit deflator shows the rate of price change in the economy as a whole. This series has been linked to produce a consistent time series to counteract breaks in series over time due to changes in base years, source data and methodologies. Thus, it may not be comparable with other national accounts series in the database for historical years.</t>
  </si>
  <si>
    <t>World Bank staff estimates based on World Bank national accounts data archives, OECD National Accounts, and the IMF WEO database.</t>
  </si>
  <si>
    <t>Financial Sector: Exchange rates &amp; prices</t>
  </si>
  <si>
    <t>The GDP implicit deflator is calculated as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The base year varies by country.</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</si>
  <si>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This series has been linked to produce a consistent time series to counteract breaks in series over time due to changes in base years, source data and methodologies. Thus, it may not be comparable with other national accounts series in the database for historical years. Data are in current local currency.</t>
  </si>
  <si>
    <t>Economic Policy &amp; Debt: National accounts: Local currency at current prices: Aggregate indicators</t>
  </si>
  <si>
    <t>Fuels comprise the commodities in SITC section 3 (mineral fuels).</t>
  </si>
  <si>
    <t>Fuels comprise SITC section 3 (mineral fuels).</t>
  </si>
  <si>
    <t>Fuels comprise the commodities in SITC section 3 (mineral fuels, lubricants and related materials).</t>
  </si>
  <si>
    <t>per_lm_alllm.cov_q1_tot</t>
  </si>
  <si>
    <t>per_lm_alllm.cov_q2_tot</t>
  </si>
  <si>
    <t>per_lm_alllm.cov_q3_tot</t>
  </si>
  <si>
    <t>per_lm_alllm.cov_q4_tot</t>
  </si>
  <si>
    <t>per_lm_alllm.cov_q5_tot</t>
  </si>
  <si>
    <t>per_sa_allsa.cov_q1_tot</t>
  </si>
  <si>
    <t>per_sa_allsa.cov_q2_tot</t>
  </si>
  <si>
    <t>per_sa_allsa.cov_q3_tot</t>
  </si>
  <si>
    <t>per_sa_allsa.cov_q4_tot</t>
  </si>
  <si>
    <t>per_sa_allsa.cov_q5_tot</t>
  </si>
  <si>
    <t>per_si_allsi.cov_q1_tot</t>
  </si>
  <si>
    <t>per_si_allsi.cov_q2_tot</t>
  </si>
  <si>
    <t>per_si_allsi.cov_q3_tot</t>
  </si>
  <si>
    <t>per_si_allsi.cov_q4_tot</t>
  </si>
  <si>
    <t>per_si_allsi.cov_q5_tot</t>
  </si>
  <si>
    <t>Coverage of unemployment benefits and ALMP in poorest quintile (% of population)</t>
  </si>
  <si>
    <t>Social Protection &amp; Labor: Performance</t>
  </si>
  <si>
    <t>Coverage of unemployment benefits and ALMP in 2nd quintile (% of population)</t>
  </si>
  <si>
    <t>Coverage of unemployment benefits and ALMP in 3rd quintile (% of population)</t>
  </si>
  <si>
    <t>Coverage of unemployment benefits and ALMP in 4th quintile (% of population)</t>
  </si>
  <si>
    <t>Coverage of unemployment benefits and ALMP in richest quintile (% of population)</t>
  </si>
  <si>
    <t>Coverage of social safety net programs in poorest quintile (% of population)</t>
  </si>
  <si>
    <t>Coverage of social safety net programs in 2nd quintile (% of population)</t>
  </si>
  <si>
    <t>Coverage of social safety net programs in 3rd quintile (% of population)</t>
  </si>
  <si>
    <t>Coverage of social safety net programs in 4th quintile (% of population)</t>
  </si>
  <si>
    <t>Coverage of social safety net programs in richest quintile (% of population)</t>
  </si>
  <si>
    <t>Coverage of social insurance programs in poorest quintile (% of population)</t>
  </si>
  <si>
    <t>Coverage of social insurance programs in 2nd quintile (% of population)</t>
  </si>
  <si>
    <t>Coverage of social insurance programs in 3rd quintile (% of population)</t>
  </si>
  <si>
    <t>Coverage of social insurance programs in 4th quintile (% of population)</t>
  </si>
  <si>
    <t>Coverage of social insurance programs in richest quintile (% of population)</t>
  </si>
  <si>
    <t>SP.POP.0004.FE.5Y</t>
  </si>
  <si>
    <t>SP.POP.0004.MA.5Y</t>
  </si>
  <si>
    <t>SP.POP.0509.FE.5Y</t>
  </si>
  <si>
    <t>SP.POP.0509.MA.5Y</t>
  </si>
  <si>
    <t>SP.POP.1014.FE.5Y</t>
  </si>
  <si>
    <t>SP.POP.1014.MA.5Y</t>
  </si>
  <si>
    <t>SP.POP.1519.FE.5Y</t>
  </si>
  <si>
    <t>SP.POP.1519.MA.5Y</t>
  </si>
  <si>
    <t>SP.POP.2024.FE.5Y</t>
  </si>
  <si>
    <t>SP.POP.2024.MA.5Y</t>
  </si>
  <si>
    <t>SP.POP.2529.FE.5Y</t>
  </si>
  <si>
    <t>SP.POP.2529.MA.5Y</t>
  </si>
  <si>
    <t>SP.POP.3034.FE.5Y</t>
  </si>
  <si>
    <t>SP.POP.3034.MA.5Y</t>
  </si>
  <si>
    <t>SP.POP.3539.FE.5Y</t>
  </si>
  <si>
    <t>SP.POP.3539.MA.5Y</t>
  </si>
  <si>
    <t>SP.POP.4044.FE.5Y</t>
  </si>
  <si>
    <t>SP.POP.4044.MA.5Y</t>
  </si>
  <si>
    <t>SP.POP.4549.FE.5Y</t>
  </si>
  <si>
    <t>SP.POP.4549.MA.5Y</t>
  </si>
  <si>
    <t>SP.POP.5054.FE.5Y</t>
  </si>
  <si>
    <t>SP.POP.5054.MA.5Y</t>
  </si>
  <si>
    <t>SP.POP.5559.FE.5Y</t>
  </si>
  <si>
    <t>SP.POP.5559.MA.5Y</t>
  </si>
  <si>
    <t>SP.POP.6064.FE.5Y</t>
  </si>
  <si>
    <t>SP.POP.6064.MA.5Y</t>
  </si>
  <si>
    <t>SP.POP.6569.FE.5Y</t>
  </si>
  <si>
    <t>SP.POP.6569.MA.5Y</t>
  </si>
  <si>
    <t>SP.POP.7074.FE.5Y</t>
  </si>
  <si>
    <t>SP.POP.7074.MA.5Y</t>
  </si>
  <si>
    <t>SP.POP.7579.FE.5Y</t>
  </si>
  <si>
    <t>Population ages 75-79, female (% of female population)</t>
  </si>
  <si>
    <t>SP.POP.7579.MA.5Y</t>
  </si>
  <si>
    <t>Population ages 75-79, male (% of male population)</t>
  </si>
  <si>
    <t>SP.POP.80UP.FE.5Y</t>
  </si>
  <si>
    <t>Population ages 80 and above, female (% of female population)</t>
  </si>
  <si>
    <t>SP.POP.80UP.MA.5Y</t>
  </si>
  <si>
    <t>Population ages 80 and above, male (% of male population)</t>
  </si>
  <si>
    <t>Female population between the ages 0 to 4 as a percentage of the total female population.</t>
  </si>
  <si>
    <t>Health: Population: Structure</t>
  </si>
  <si>
    <t>Male population between the ages 0 to 4 as a percentage of the total male population.</t>
  </si>
  <si>
    <t>Female population between the ages 5 to 9 as a percentage of the total female population.</t>
  </si>
  <si>
    <t>Male population between the ages 5 to 9 as a percentage of the total male population.</t>
  </si>
  <si>
    <t>Female population between the ages 10 to 14 as a percentage of the total female population.</t>
  </si>
  <si>
    <t>Male population between the ages 10 to 14 as a percentage of the total male population.</t>
  </si>
  <si>
    <t>Female population between the ages 15 to 19 as a percentage of the total female population.</t>
  </si>
  <si>
    <t>Male population between the ages 15 to 19 as a percentage of the total male population.</t>
  </si>
  <si>
    <t>Female population between the ages 20 to 24 as a percentage of the total female population.</t>
  </si>
  <si>
    <t>Male population between the ages 20 to 24 as a percentage of the total male population.</t>
  </si>
  <si>
    <t>Female population between the ages 25 to 29 as a percentage of the total female population.</t>
  </si>
  <si>
    <t>Male population between the ages 25 to 29 as a percentage of the total male population.</t>
  </si>
  <si>
    <t>Female population between the ages 30 to 34 as a percentage of the total female population.</t>
  </si>
  <si>
    <t>Male population between the ages 30 to 34 as a percentage of the total male population.</t>
  </si>
  <si>
    <t>Female population between the ages 35 to 39 as a percentage of the total female population.</t>
  </si>
  <si>
    <t>Male population between the ages 35 to 39 as a percentage of the total male population.</t>
  </si>
  <si>
    <t>Female population between the ages 40 to 44 as a percentage of the total female population.</t>
  </si>
  <si>
    <t>Male population between the ages 40 to 44 as a percentage of the total male population.</t>
  </si>
  <si>
    <t>Female population between the ages 45 to 49 as a percentage of the total female population.</t>
  </si>
  <si>
    <t>Male population between the ages 45 to 49 as a percentage of the total male population.</t>
  </si>
  <si>
    <t>Female population between the ages 50 to 54 as a percentage of the total female population.</t>
  </si>
  <si>
    <t>Male population between the ages 50 to 54 as a percentage of the total male population.</t>
  </si>
  <si>
    <t>Female population between the ages 55 to 59 as a percentage of the total female population.</t>
  </si>
  <si>
    <t>Male population between the ages 55 to 59 as a percentage of the total male population.</t>
  </si>
  <si>
    <t>Female population between the ages 60 to 64 as a percentage of the total female population.</t>
  </si>
  <si>
    <t>Male population between the ages 60 to 64 as a percentage of the total male population.</t>
  </si>
  <si>
    <t>Female population between the ages 65 to 69 as a percentage of the total female population.</t>
  </si>
  <si>
    <t>Male population between the ages 65 to 69 as a percentage of the total male population.</t>
  </si>
  <si>
    <t>Female population between the ages 70 to 74 as a percentage of the total female population.</t>
  </si>
  <si>
    <t>Male population between the ages 70 to 74 as a percentage of the total male population.</t>
  </si>
  <si>
    <t>Female population between the ages 75 to 79 as a percentage of the total female population.</t>
  </si>
  <si>
    <t>Male population between the ages 75 to 79 as a percentage of the total male population.</t>
  </si>
  <si>
    <t>Female population between the ages 80 and above as a percentage of the total female population.</t>
  </si>
  <si>
    <t>Male population between the ages 80 and above as a percentage of the total male population.</t>
  </si>
  <si>
    <t>Net official aid received (constant 2014 US$)</t>
  </si>
  <si>
    <t>Net official development assistance received (constant 2014 US$)</t>
  </si>
  <si>
    <t>Condom use, female is the percentage of the female population ages 15-24 who used a condom at last intercourse in the last 12 months.</t>
  </si>
  <si>
    <t>Condom use, male is the percentage of the male population ages 15-24 who used a condom at last intercourse in the last 12 months.</t>
  </si>
  <si>
    <t>Prevalence of HIV is the percentage of people who are infected with HIV. Youth rates are as a percentage of the relevant age group.</t>
  </si>
  <si>
    <t>Prevalence of HIV, female is the percentage of females who are infected with HIV. Youth rates are as a percentage of the relevant age group.</t>
  </si>
  <si>
    <t>Prevalence of HIV, male is the percentage of males who are infected with HIV. Youth rates are as a percentage of the relevant age group.</t>
  </si>
  <si>
    <t>Number of new HIV infections among uninfected populations ages 15-49 expressed per 100 uninfected population in the year before the period.</t>
  </si>
  <si>
    <t>Child immunization rate, hepatitis B is the percentage of children ages 12-23 months who received hepatitis B vaccinations before 12 months or at any time before the survey. A child is considered adequately immunized after three doses.</t>
  </si>
  <si>
    <t>Child immunization measures the percentage of children ages 12-23 months who received vaccinations before 12 months or at any time before the survey. A child is considered adequately immunized against diphtheria, pertussis (or whooping cough), and tetanus (DPT) after receiving three doses of vaccine.</t>
  </si>
  <si>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</si>
  <si>
    <t>Child immunization measures the percentage of children ages 12-23 months who received vaccinations before 12 months or at any time before the survey. A child is considered adequately immunized against measles after receiving one dose of vaccine.</t>
  </si>
  <si>
    <t>Child immunization, measles, measures the percentage of children ages 12-23 months who received the measles vaccination before 12 months or at any time before the survey. A child is considered adequately immunized against measles after receiving one dose of vaccine.</t>
  </si>
  <si>
    <t>The proportion of population at risk of impoverishing expenditure when surgical care is required. Impoverishing expenditure is defined as direct out of pocket payments for surgical and anaesthesia care which drive people below a poverty threshold (using a threshold of $1.25 PPP/day).</t>
  </si>
  <si>
    <t>Population below minimum level of dietary energy consumption (also referred to as prevalence of undernourishment) shows the percentage of the population whose food intake is insufficient to meet dietary energy requirements continuously. Data showing as 5 may signify a prevalence of undernourishment below 5%.</t>
  </si>
  <si>
    <t>World Bank staff estimates based on age/sex distributions of United Nations Population Division's World Population Prospects.</t>
  </si>
  <si>
    <t>World Bank staff estimates using the World Bank's population and age distributions of the United Nations Population Division's World Population Prospects. The World Bank's population estimates are from various sources including the United Nations Population Division's World Population Prospects; census reports and statistical publications from national statistical offices; Eurostat's Demographic Statistics; United Nations Statistical Division, Population and Vital Statistics Report (various years); U.S. Census Bureau: International Database; and Secretariat of the Pacific Community, Statistics and Demography Programme.</t>
  </si>
  <si>
    <t>FD.RES.LIQU.AS.ZS</t>
  </si>
  <si>
    <t>Gender: Public life &amp; decision making</t>
  </si>
  <si>
    <t>SG.GEN.PARL.ZS</t>
  </si>
  <si>
    <t>Health: Health systems</t>
  </si>
  <si>
    <t>Private Sector &amp; Trade: Imports</t>
  </si>
  <si>
    <t>Economic Policy &amp; Debt: National accounts: US$ at current prices: Aggregate indicators</t>
  </si>
  <si>
    <t>Gender: Health</t>
  </si>
  <si>
    <t>Gender: Participation &amp; access</t>
  </si>
  <si>
    <t>World Bank, Sustainable Energy for All (SE4ALL) database from the SE4ALL Global Tracking Framework led jointly by the World Bank, International Energy Agency, and the Energy Sector Management Assistance Program.</t>
  </si>
  <si>
    <t>World Bank, Sustainable Energy for All (SE4ALL) database from WHO Global Household Energy database.</t>
  </si>
  <si>
    <t>Access to clean fuels and technologies for cooking is the proportion of total population primarily using clean cooking fuels and technologies for cooking. Under WHO guidelines, kerosene is excluded from clean cooking fuels.</t>
  </si>
  <si>
    <t>IC.GEN.FNPW.ZS</t>
  </si>
  <si>
    <t>Female permanent full-time non-production workers in private firms shows the ratio of female non-production workers over total non-production workers. The results are based on surveys of more than 100,000 private firms.</t>
  </si>
  <si>
    <t>Female permanent full-time non-production workers in private firms shows the percentage of female permanent full-time non-production workers in the private sector.  The results are based on surveys of more than 100,000 private firms.</t>
  </si>
  <si>
    <t>Internet users are individuals who have used the Internet (from any location) in the last 3 months. The Internet can be used via a computer, mobile phone, personal digital assistant, games machine, digital TV etc.</t>
  </si>
  <si>
    <t>Access to an improved water source, rural, refers to the percentage of the rural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t>
  </si>
  <si>
    <t>Access to an improved water source, urban, refers to the percentage of the urban population using an improved drinking water source. The improved drinking water source includes piped water on premises (piped household water connection located inside the user’s dwelling, plot or yard), and other improved drinking water sources (public taps or standpipes, tube wells or boreholes, protected dug wells, protected springs, and rainwater collection).</t>
  </si>
  <si>
    <t>Access to improved sanitation facilities, rural, refers to the percentage of the rural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t>
  </si>
  <si>
    <t>Access to improved sanitation facilities, urban, refers to the percentage of the urban population using improved sanitation facilities. Improved sanitation facilities are likely to ensure hygienic separation of human excreta from human contact. They include flush/pour flush (to piped sewer system, septic tank, pit latrine), ventilated improved pit (VIP) latrine, pit latrine with slab, and composting toilet.</t>
  </si>
  <si>
    <t>Prevalence of underweight, female, is the percentage of girls under age 5 whose weight for age is more than two standard deviations below the median for the international reference population ages 0-59 months. The data are based on the WHO's new child growth standards released in 2006.</t>
  </si>
  <si>
    <t>Prevalence of underweight, male, is the percentage of boys under age 5 whose weight for age is more than two standard deviations below the median for the international reference population ages 0-59 months. The data are based on the WHO's new child growth standards released in 2006.</t>
  </si>
  <si>
    <t>Prevalence of overweight, female, is the percentage of girls under age 5 whose weight for height is more than two standard deviations above the median for the international reference population of the corresponding age as established by the WHO's new child growth standards released in 2006.</t>
  </si>
  <si>
    <t>Prevalence of overweight, male, is the percentage of boys under age 5 whose weight for height is more than two standard deviations above the median for the international reference population of the corresponding age as established by the WHO's new child growth standards released in 2006.</t>
  </si>
  <si>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new child growth standards released in 2006.</t>
  </si>
  <si>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new child growth standards released in 2006.</t>
  </si>
  <si>
    <t>Prevalence of wasting, female, is the proportion of girls under age 5 whose weight for height is more than two standard deviations below the median for the international reference population ages 0-59.</t>
  </si>
  <si>
    <t>Prevalence of wasting, male,is the proportion of boys under age 5 whose weight for height is more than two standard deviations below the median for the international reference population ages 0-59.</t>
  </si>
  <si>
    <t>Prevalence of severe wasting, female, is the proportion of girls under age 5 whose weight for height is more than three standard deviations below the median for the international reference population ages 0-59.</t>
  </si>
  <si>
    <t>Prevalence of severe wasting, male, is the proportion of boys under age 5 whose weight for height is more than three standard deviations below the median for the international reference population ages 0-59.</t>
  </si>
  <si>
    <t>Prevalence of wasting is the proportion of children under age 5 whose weight for height is more than two standard deviations below the median for the international reference population ages 0-59.</t>
  </si>
  <si>
    <t>Prevalence of severe wasting is the proportion of children under age 5 whose weight for height is more than three standard deviations below the median for the international reference population ages 0-59.</t>
  </si>
  <si>
    <t>Share of women in wage employment in the nonagricultural sector is the share of female workers in wage employment in the nonagricultural sector (industry and services), expressed as a percentage of total employment in the nonagricultural sector. Industry includes mining and quarrying (including oil production), manufacturing, construction, electricity, gas, and water, corresponding to divisions 2-5 (ISIC revision 2) or tabulation categories C-F (ISIC revision 3). Services include wholesale and retail trade and restaurants and hotels; transport, storage, and communications; financing, insurance, real estate, and business services; and community, social, and personal services-corresponding to divisions 6-9 (ISIC revision 2) or tabulation categories G-Q (ISIC revision 3).</t>
  </si>
  <si>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</si>
  <si>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</si>
  <si>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SL.EMP.VULN.FE.ZS</t>
  </si>
  <si>
    <t>SL.EMP.VULN.MA.ZS</t>
  </si>
  <si>
    <t>SL.EMP.VULN.ZS</t>
  </si>
  <si>
    <t>Vulnerable employment is unpaid family workers and own-account workers as a percentage of total employment.</t>
  </si>
  <si>
    <t>Vulnerable employment is contributing family workers and own-account workers as a percentage of total employment.</t>
  </si>
  <si>
    <t>SL.TLF.TOTL.FE.ZS</t>
  </si>
  <si>
    <t>SL.TLF.TOTL.IN</t>
  </si>
  <si>
    <t>Female labor force as a percentage of the total show the extent to which women are active in the labor force. Labor force comprises people ages 15 and older who meet the International Labour Organization's definition of the economically active population.</t>
  </si>
  <si>
    <t>Total labor force comprises people ages 15 and older who meet the International Labour Organization definition of the economically active population: all people who supply labor for the production of goods and services during a specified period. It includes both the employed and the unemployed. While national practices vary in the treatment of such groups as the armed forces and seasonal or part-time workers, in general the labor force includes the armed forces, the unemployed, and first-time job-seekers, but excludes homemakers and other unpaid caregivers and workers in the informal sector.</t>
  </si>
  <si>
    <t>Labor force participation rate is the proportion of the population ages 15 and older that is economically active: all people who supply labor for the production of goods and services during a specified period. Ratio of female to male labor force participation rate is calculated by dividing female labor force participation rate by male labor force participation rate and multiplying by 100.</t>
  </si>
  <si>
    <t>Female labor force as a percentage of the total show the extent to which women are active in the labor force. Labor force comprises people ages 15 and older who supply labor for the production of goods and services during a specified period.</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</si>
  <si>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</si>
  <si>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Adult mortality rate, female, is the probability of dying between the ages of 15 and 60--that is, the probability of a 15-year-old female dying before reaching age 60, if subject to age-specific mortality rates of the specified year between those ages.</t>
  </si>
  <si>
    <t>Adult mortality rate, male, is the probability of dying between the ages of 15 and 60--that is, the probability of a 15-year-old male dying before reaching age 60, if subject to age-specific mortality rates of the specified year between those ages.</t>
  </si>
  <si>
    <t>International Labour Organization, ILOSTAT database.</t>
  </si>
  <si>
    <t>International Labour Organization.</t>
  </si>
  <si>
    <t>Population ages 0-4, female (% of female population)</t>
  </si>
  <si>
    <t>Population ages 0-4, male (% of male population)</t>
  </si>
  <si>
    <t>Population ages 5-9, female (% of female population)</t>
  </si>
  <si>
    <t>Population ages 5-9, male (% of male population)</t>
  </si>
  <si>
    <t>Population ages 10-14, female (% of female population)</t>
  </si>
  <si>
    <t>Population ages 10-14, male (% of male population)</t>
  </si>
  <si>
    <t>Population ages 15-19, female (% of female population)</t>
  </si>
  <si>
    <t>Population ages 20-24, female (% of female population)</t>
  </si>
  <si>
    <t>Population ages 25-29, female (% of female population)</t>
  </si>
  <si>
    <t>Population ages 25-29, male (% of male population)</t>
  </si>
  <si>
    <t>Population ages 30-34, female (% of female population)</t>
  </si>
  <si>
    <t>Population ages 30-34, male (% of male population)</t>
  </si>
  <si>
    <t>Population ages 35-39, female (% of female population)</t>
  </si>
  <si>
    <t>Population ages 35-39, male (% of male population)</t>
  </si>
  <si>
    <t>Population ages 40-44, female (% of female population)</t>
  </si>
  <si>
    <t>Population ages 40-44, male (% of male population)</t>
  </si>
  <si>
    <t>Population ages 45-49, female (% of female population)</t>
  </si>
  <si>
    <t>Population ages 45-49, male (% of male population)</t>
  </si>
  <si>
    <t>Population ages 50-54, female (% of female population)</t>
  </si>
  <si>
    <t>Population ages 50-54, male (% of male population)</t>
  </si>
  <si>
    <t>Population ages 55-59, female (% of female population)</t>
  </si>
  <si>
    <t>Population ages 55-59, male (% of male population)</t>
  </si>
  <si>
    <t>Population ages 50-64, female (% of female population)</t>
  </si>
  <si>
    <t>Population ages 50-64, male (% of male population)</t>
  </si>
  <si>
    <t>Population ages 65-69, female (% of female population)</t>
  </si>
  <si>
    <t>Population ages 65-69, male (% of male population)</t>
  </si>
  <si>
    <t>Population ages 70-74, female (% of female population)</t>
  </si>
  <si>
    <t>Population ages 70-74, male (% of male population)</t>
  </si>
  <si>
    <t>Population ages 15-19, male (% of male population)</t>
  </si>
  <si>
    <t>Population ages 20-24, male (% of male population)</t>
  </si>
  <si>
    <t>23 March, 2017: A minor update was processed to revise 2014 and 2015 foreign direct investment data for United Arab Emirates. Indicators related to cereal production were also revised; and missing data for debt forgiveness grants were added.</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</si>
  <si>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</si>
  <si>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outflows of investment from the reporting economy to the rest of the world and is divided by GDP.</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</si>
  <si>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2013 U.S. dollars.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</si>
  <si>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2013 U.S. dollars.</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</si>
  <si>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2014 U.S. dollars.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</si>
  <si>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2014 U.S. dollars.</t>
  </si>
  <si>
    <t>SL.UEM.LTRM.FE.ZS</t>
  </si>
  <si>
    <t>Long-term unemployment, female (% of female unemployment)</t>
  </si>
  <si>
    <t>SL.UEM.LTRM.MA.ZS</t>
  </si>
  <si>
    <t>Long-term unemployment, male (% of male unemployment)</t>
  </si>
  <si>
    <t>SL.UEM.LTRM.ZS</t>
  </si>
  <si>
    <t>Long-term unemployment (% of total unemployment)</t>
  </si>
  <si>
    <t>Unemployment with primary education (% of total unemployment)</t>
  </si>
  <si>
    <t>Unemployment with secondary education (% of total unemployment)</t>
  </si>
  <si>
    <t>Unemployment with tertiary education (% of total unemployment)</t>
  </si>
  <si>
    <t>Labor force with primary education, female (% of female labor force)</t>
  </si>
  <si>
    <t>Labor force with primary education, male (% of male labor force)</t>
  </si>
  <si>
    <t>Labor force with primary education (% of total)</t>
  </si>
  <si>
    <t>Labor force with secondary education, female (% of female labor force)</t>
  </si>
  <si>
    <t>Labor force with secondary education, male (% of male labor force)</t>
  </si>
  <si>
    <t>Labor force with secondary education (% of total)</t>
  </si>
  <si>
    <t>Labor force with tertiary education, female (% of female labor force)</t>
  </si>
  <si>
    <t>Labor force with tertiary education, male (% of male labor force)</t>
  </si>
  <si>
    <t>Labor force with tertiary education (% of total)</t>
  </si>
  <si>
    <t>Unemployment with primary education, female (% of female unemployment)</t>
  </si>
  <si>
    <t>Unemployment with primary education, male (% of male unemployment)</t>
  </si>
  <si>
    <t>Unemployment with secondary education, female (% of female unemployment)</t>
  </si>
  <si>
    <t>Unemployment with secondary education, male (% of male unemployment)</t>
  </si>
  <si>
    <t>Unemployment with tertiary education, female (% of female unemployment)</t>
  </si>
  <si>
    <t>Unemployment with tertiary education, male (% of male unemployment)</t>
  </si>
  <si>
    <t>SL.EMP.SMGT.FE.ZS</t>
  </si>
  <si>
    <t xml:space="preserve">Female share of employment in senior and middle management (%) </t>
  </si>
  <si>
    <t>SL.TLF.BASC.FE.ZS</t>
  </si>
  <si>
    <t>Labor force with basic education, female (% of female labor force)</t>
  </si>
  <si>
    <t>SL.TLF.BASC.MA.ZS</t>
  </si>
  <si>
    <t>Labor force with basic education, male (% of male labor force)</t>
  </si>
  <si>
    <t>SL.TLF.BASC.ZS</t>
  </si>
  <si>
    <t>Labor force with basic education (% of total)</t>
  </si>
  <si>
    <t>SL.TLF.INTM.FE.ZS</t>
  </si>
  <si>
    <t>Labor force with intermediate education, female (% of female labor force)</t>
  </si>
  <si>
    <t>SL.TLF.INTM.MA.ZS</t>
  </si>
  <si>
    <t>Labor force with intermediate education, male (% of male labor force)</t>
  </si>
  <si>
    <t>SL.TLF.INTM.ZS</t>
  </si>
  <si>
    <t>Labor force with intermediate education (% of total)</t>
  </si>
  <si>
    <t>SL.TLF.ADVN.FE.ZS</t>
  </si>
  <si>
    <t>Labor force with advanced education, female (% of female labor force)</t>
  </si>
  <si>
    <t>SL.TLF.ADVN.MA.ZS</t>
  </si>
  <si>
    <t>Labor force with advanced education, male (% of male labor force)</t>
  </si>
  <si>
    <t>SL.TLF.ADVN.ZS</t>
  </si>
  <si>
    <t>Labor force with advanced education (% of total)</t>
  </si>
  <si>
    <t>SL.UEM.BASC.FE.ZS</t>
  </si>
  <si>
    <t>Unemployment with basic education, female</t>
  </si>
  <si>
    <t>SL.UEM.BASC.MA.ZS</t>
  </si>
  <si>
    <t>Unemployment with basic education, male</t>
  </si>
  <si>
    <t>SL.UEM.BASC.ZS</t>
  </si>
  <si>
    <t>Unemployment with basic education (% of total unemployment)</t>
  </si>
  <si>
    <t>SL.UEM.INTM.FE.ZS</t>
  </si>
  <si>
    <t>Unemployment with intermediate education, female</t>
  </si>
  <si>
    <t>SL.UEM.INTM.MA.ZS</t>
  </si>
  <si>
    <t>Unemployment with intermediate education, male</t>
  </si>
  <si>
    <t>SL.UEM.INTM.ZS</t>
  </si>
  <si>
    <t>Unemployment with intermediate education (% of total unemployment)</t>
  </si>
  <si>
    <t>SL.UEM.ADVN.FE.ZS</t>
  </si>
  <si>
    <t>Unemployment with advanced education, female</t>
  </si>
  <si>
    <t>SL.UEM.ADVN.MA.ZS</t>
  </si>
  <si>
    <t>Unemployment with advanced education, male</t>
  </si>
  <si>
    <t>SL.UEM.ADVN.ZS</t>
  </si>
  <si>
    <t>Unemployment with advanced education (% of total unemployment)</t>
  </si>
  <si>
    <t>The share of the female labor force that attained or completed basic education as the highest level of education. Basic education comprises of primary education and lower secondary education in the International Standard Classification of Education 2011 (ISCED 2011).</t>
  </si>
  <si>
    <t>The share of the male labor force that attained or completed basic education as the highest level of education. Basic education comprises of primary education and lower secondary education in the International Standard Classification of Education 2011 (ISCED 2011).</t>
  </si>
  <si>
    <t>The share of the total labor force that attained or completed basic education as the highest level of education. Basic education comprises of primary education and lower secondary education in the International Standard Classification of Education 2011 (ISCED 2011).</t>
  </si>
  <si>
    <t>The share of the female labor force that attained or completed intermediate education as the highest level of education. Intermediate education comprises of upper secondary and post-secondary non tertiary education in the International Standard Classification of Education 2011 (ISCED 2011).</t>
  </si>
  <si>
    <t>The share of the male labor force that attained or completed intermediate education as the highest level of education. Intermediate education comprises of upper secondary and post-secondary non tertiary education in the International Standard Classification of Education 2011 (ISCED 2011).</t>
  </si>
  <si>
    <t>The share of the total labor force that attained or completed intermediate education as the highest level of education. Intermediate education comprises of upper secondary and post-secondary non tertiary education in the International Standard Classification of Education 2011 (ISCED 2011).</t>
  </si>
  <si>
    <t>The share of the female labor force that attained or completed advanced education as the highest level of education. Advanced education comprises of short-cycle tertiary, bachelor’s or equivalent level, mater’s or equivalent level, and doctoral or equivalent level in the International Standard Classification of Education 2011 (ISCED 2011).</t>
  </si>
  <si>
    <t>The share of the male labor force that attained or completed advanced education as the highest level of education. Advanced education comprises of short-cycle tertiary, bachelor’s or equivalent level, mater’s or equivalent level, and doctoral or equivalent level in the International Standard Classification of Education 2011 (ISCED 2011).</t>
  </si>
  <si>
    <t>The share of the total labor force that attained or completed advanced education as the highest level of education. Advanced education comprises of short-cycle tertiary, bachelor’s or equivalent level, mater’s or equivalent level, and doctoral or equivalent level in the International Standard Classification of Education 2011 (ISCED 2011).</t>
  </si>
  <si>
    <t>The share of the female unemployment that attained or completed basic education as the highest level of education. Basic education comprises of primary education and lower secondary education in the International Standard Classification of Education 2011 (ISCED 2011).</t>
  </si>
  <si>
    <t>The share of the male unemployment that attained or completed basic education as the highest level of education. Basic education comprises of primary education and lower secondary education in the International Standard Classification of Education 2011 (ISCED 2011).</t>
  </si>
  <si>
    <t>The share of the total unemployment that attained or completed basic education as the highest level of education. Basic education comprises of primary education and lower secondary education in the International Standard Classification of Education 2011 (ISCED 2011).</t>
  </si>
  <si>
    <t>The share of the female unemployment that attained or completed intermediate education as the highest level of education. Intermediate education comprises of upper secondary and post-secondary non tertiary education in the International Standard Classification of Education 2011 (ISCED 2011).</t>
  </si>
  <si>
    <t>The share of the male unemployment that attained or completed intermediate education as the highest level of education. Intermediate education comprises of upper secondary and post-secondary non tertiary education in the International Standard Classification of Education 2011 (ISCED 2011).</t>
  </si>
  <si>
    <t>The share of the total unemployment that attained or completed intermediate education as the highest level of education. Intermediate education comprises of upper secondary and post-secondary non tertiary education in the International Standard Classification of Education 2011 (ISCED 2011).</t>
  </si>
  <si>
    <t>The share of the female unemployment that attained or completed advanced education as the highest level of education. Advanced education comprises of short-cycle tertiary, bachelor’s or equivalent level, mater’s or equivalent level, and doctoral or equivalent level in the International Standard Classification of Education 2011 (ISCED 2011).</t>
  </si>
  <si>
    <t>The share of the male unemployment that attained or completed advanced education as the highest level of education. Advanced education comprises of short-cycle tertiary, bachelor’s or equivalent level, mater’s or equivalent level, and doctoral or equivalent level in the International Standard Classification of Education 2011 (ISCED 2011).</t>
  </si>
  <si>
    <t>The share of the total unemployment that attained or completed advanced education as the highest level of education. Advanced education comprises of short-cycle tertiary, bachelor’s or equivalent level, mater’s or equivalent level, and doctoral or equivalent level in the International Standard Classification of Education 2011 (ISCED 2011).</t>
  </si>
  <si>
    <t>The proportion of females in total employment in senior and middle management. It corresponds to major group 1 in both ISCO-08 and ISCO-88 minus category 14 in ISCO-08 (hospitality, retail and other services managers) and minus category 13 in ISCO-88 (general managers), since these comprise mainly managers of small enterprises.</t>
  </si>
  <si>
    <t>29 March, 2017: New country codes were introduced to align World Bank 3-letter codes with ISO 3-letter codes: Andorra (AND), Dem. Rep. Congo (COD), Isle of Man (IMN), Kosovo (XKX), Romania (ROU), Timor-Leste (TLS), and West Bank and Gaza (PSE).</t>
  </si>
  <si>
    <t>17 April, 2017: Full update of development data to coincide with publication of the World Development Indicators 2017 book. New indicators include those for trademark and industrial design applications, access to clean fuels and technologies for cooking, male and female population shares by five-year age intervals, social protection coverage by quintiles from ASPIRE, and trade compliance indicators from Doing Business. External debt data for Thailand have been revised. Additionally, a set of three new indicators have been developed for GDP in current local currency, the implicit GDP deflator, and inflation based on the implicit GDP deflator. These series have been linked to produce consistent time series to counteract breaks in series over time due to changes in base years, source data and methodologies. The new linked series may not be comparable with other national accounts series in the database for historical years.</t>
  </si>
  <si>
    <t xml:space="preserve">SI.RMT.COST.OB.ZS </t>
  </si>
  <si>
    <t>Date</t>
  </si>
  <si>
    <t>Labor force with advanced education, female (% of female working-age population with advanced education)</t>
  </si>
  <si>
    <t>Labor force with advanced education, male (% of male working-age population with advanced education)</t>
  </si>
  <si>
    <t>Labor force with advanced education (% of total working-age population with advanced education)</t>
  </si>
  <si>
    <t>Labor force with basic education, female (% of female working-age population with basic education)</t>
  </si>
  <si>
    <t>Labor force with basic education, male (% of male working-age population with basic education)</t>
  </si>
  <si>
    <t>Labor force with basic education (% of total working-age population with basic education)</t>
  </si>
  <si>
    <t>Labor force with intermediate education, female (% of female working-age population with intermediate education)</t>
  </si>
  <si>
    <t>Labor force with intermediate education, male (% of male working-age population with intermediate education)</t>
  </si>
  <si>
    <t>Labor force with intermediate education (% of total working-age population with intermediate education)</t>
  </si>
  <si>
    <t>Unemployment with advanced education, female (% of female labor force with advanced education)</t>
  </si>
  <si>
    <t>Unemployment with advanced education, male (% of male labor force with advanced education)</t>
  </si>
  <si>
    <t>Unemployment with advanced education (% of total labor force with advanced education)</t>
  </si>
  <si>
    <t>Unemployment with basic education, female (% of female labor force with basic education)</t>
  </si>
  <si>
    <t>Unemployment with basic education, male (% of male labor force with basic education)</t>
  </si>
  <si>
    <t>Unemployment with basic education (% of total labor force with basic education)</t>
  </si>
  <si>
    <t>Unemployment with intermediate education, female (% of female labor force with intermediate education)</t>
  </si>
  <si>
    <t>Unemployment with intermediate education, male (% of male labor force with intermediate education)</t>
  </si>
  <si>
    <t>Unemployment with intermediate education (% of total labor force with intermediate education)</t>
  </si>
  <si>
    <t>Labor force with intermediate education (% of total</t>
  </si>
  <si>
    <t>The percentage of the working age population with an advanced level of education who are in the labor force.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</si>
  <si>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The percentage of the working age population with a basic level of education who are in the labor force. Basic education comprises primary education or lower secondary education according to the International Standard Classification of Education 2011 (ISCED 2011).</t>
  </si>
  <si>
    <t>The percentage of the working age population with an intermediate level of education who are in the labor force. Intermediate education comprises upper secondary or post-secondary non tertiary education according to the International Standard Classification of Education 2011 (ISCED 2011).</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</si>
  <si>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</si>
  <si>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The percentage of the labor force with a basic level of education who are unemployed. Basic education comprises primary education or lower secondary education according to the International Standard Classification of Education 2011 (ISCED 2011).</t>
  </si>
  <si>
    <t>The percentage of the labor force with an intermediate level of education who are unemployed. Intermediate education comprises upper secondary or post-secondary non tertiary education according to the International Standard Classification of Education 2011 (ISCED 2011).</t>
  </si>
  <si>
    <t>26 May, 2017: Child malnutrition aggregate estimates have been updated with the most recent WHO-Unicef-World Bank joint estimates. We also included in this release changes in Net bilateral aid flows from DAC donors, Net DAC donor flows (Total), Fishery and Aquaculture production data, and Gross National Income for Nigeria.</t>
  </si>
  <si>
    <t>IE.PPI.ICTI.CD</t>
  </si>
  <si>
    <t>Investment in ICT with private participation (current US$)</t>
  </si>
  <si>
    <t>IE.PPN.TRAN.CD</t>
  </si>
  <si>
    <t>Public private partnerships investment in transport (current US$)</t>
  </si>
  <si>
    <t>IE.PPN.ENGY.CD</t>
  </si>
  <si>
    <t>Public private partnerships investment in energy (current US$)</t>
  </si>
  <si>
    <t>IE.PPN.WATR.CD</t>
  </si>
  <si>
    <t>Public private partnerships investment in water and sanitation (current US$)</t>
  </si>
  <si>
    <t>IE.PPN.TELE.CD</t>
  </si>
  <si>
    <t>Public private partnerships investment in telecom (current US$)</t>
  </si>
  <si>
    <t>World Bank, Private Participation in Infrastructure Project Database (http://ppi.worldbank.org).</t>
  </si>
  <si>
    <t>Infrastructure: expenditure</t>
  </si>
  <si>
    <t>Investment in ICT with private participation is the value of commitments to information and communications technology backbone infrastructure projects (including land based and submarine cables) that have an active government component (eg, the government is a contracting authority). These are projects which have reached financial closure and directly or indirectly serve the public, including operation and lease contracts, operation and management  contracts with major capital expenditure, greenfield projects (in which a private entity or public-private joint venture builds and operates a new facility), and divestitures. Movable assets and small projects are excluded.</t>
  </si>
  <si>
    <t>Public Private Partnerships in transport (current US$)  is the value of commitments to transportation projects that have reached financial closure and directly or indirectly serve the public, including lease and management contracts, operation and management contracts with major capital expenditure, and greenfield projects (in which a private entity or public-private joint venture builds and operates a new facility). It excludes divestitures and merchant projects. Movable assets and small projects are excluded.</t>
  </si>
  <si>
    <t>Public Private Partnerships in energy (current US$)  is the value of commitments to energy projects that have reached financial closure and directly or indirectly serve the public, including lease and management contracts, operation and management contracts with major capital expenditure, and greenfield projects (in which a private entity or public-private joint venture builds and operates a new facility). It excludes divestitures and merchant projects. Movable assets and small projects are excluded.</t>
  </si>
  <si>
    <t>Public Private Partnerships in water and sanitation (current US$)  is the value of commitments to water and sanitation projects that have reached financial closure and directly or indirectly serve the public, including lease and management contracts, operation and management contracts with major capital expenditure, and greenfield projects (in which a private entity or public-private joint venture builds and operates a new facility). It excludes divestitures and merchant projects. Movable assets and small projects are excluded.</t>
  </si>
  <si>
    <t>Public Private Partnerships in telecoms (current US$)  is the value of commitments to telecoms projects that have reached financial closure and directly or indirectly serve the public, including lease and management contracts, operation and management contracts with major capital expenditure, and greenfield projects (in which a private entity or public-private joint venture builds and operates a new facility). It excludes divestitures and merchant projects. Movable assets and small projects are excluded.</t>
  </si>
  <si>
    <t>1 July, 2017: 2016 data for all countries and groups for population-, GDP- and GNI-related indicators have been released. This extends to revised historical data where necessary. Purchasing Power Parities and related indicators in PPP terms for Cuba (expenditures, income, etc.) have been removed.
Other data that have been updated include balance of payments, monetary indicators, military expenditure, merchandise trade, air traffic and internally displaced persons. Country classification hierarchies and group aggregate data reflect new fiscal year 2018 income classifications.
Purchasing Power Parities have been updated for OECD and Eurostat countries to reflect their latest release.
New Public Private Partnership series were introduced in this release. The percentage of people with an account (SDG 8.10.2 from Findex) is also available and disaggregated by sex, income, and education level.</t>
  </si>
  <si>
    <t>WP_time_10.1</t>
  </si>
  <si>
    <t>Account (% age 15+)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</si>
  <si>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 age 15+). [ts: data are available for multiple waves].</t>
  </si>
  <si>
    <t>WP_time_10.2</t>
  </si>
  <si>
    <t>Account, male (% age 15+)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</si>
  <si>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(male, % age 15+). [ts: data are available for multiple waves].</t>
  </si>
  <si>
    <t>WP_time_10.3</t>
  </si>
  <si>
    <t>Account, female (% age 15+)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</si>
  <si>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(female, % age 15+). [ts: data are available for multiple waves].</t>
  </si>
  <si>
    <t>WP_time_10.4</t>
  </si>
  <si>
    <t>Account, young adults (% ages 15-24)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</si>
  <si>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 ages 15-24). [ts: data are available for multiple waves].</t>
  </si>
  <si>
    <t>WP_time_10.5</t>
  </si>
  <si>
    <t>Account, older adults (% ages 25+)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</si>
  <si>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 age 25+). [ts: data are available for multiple waves].</t>
  </si>
  <si>
    <t>WP_time_10.6</t>
  </si>
  <si>
    <t>Account, primary education or less (% ages 15+)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</si>
  <si>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(primary education or less, % age 15+). [ts: data are available for multiple waves].</t>
  </si>
  <si>
    <t>WP_time_10.7</t>
  </si>
  <si>
    <t>Account, secondary education or more (% ages 15+)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</si>
  <si>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(secondary education or more, % age 15+). [ts: data are available for multiple waves].</t>
  </si>
  <si>
    <t>WP_time_10.8</t>
  </si>
  <si>
    <t>Account, income, poorest 40% (% ages 15+)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</si>
  <si>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(income, poorest 40%, % age 15+). [ts: data are available for multiple waves].</t>
  </si>
  <si>
    <t>WP_time_10.9</t>
  </si>
  <si>
    <t>Account, income, richest 60% (% ages 15+) [ts]</t>
  </si>
  <si>
    <t>Denotes the percentage of respondents who report having an account (by themselves or together with someone else). For 2011, this can be an account at a bank or another type of financial institution, and for 2014 this can be a mobile account as well (see year-specific definitions for details) (income, richest 60%, % age 15+). [ts: data are available for multiple waves].</t>
  </si>
  <si>
    <t>VC.IDP.NWCV</t>
  </si>
  <si>
    <t>Internally displaced persons, new displacement associated with conflict and violence (number of cases)</t>
  </si>
  <si>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"New Displacement" refers to the number of new cases or incidents of displacement recorded, rather than the number of people displaced. This is done because people may have been displaced more than once.</t>
  </si>
  <si>
    <t>The Internal Displacement Monitoring Centre (http://www.internal-displacement.org/)</t>
  </si>
  <si>
    <t>VC.IDP.NWDS</t>
  </si>
  <si>
    <t>Internally displaced persons, new displacement associated with disasters (number of cases)</t>
  </si>
  <si>
    <t>VC.IDP.TOCV</t>
  </si>
  <si>
    <t>Internally displaced persons, total displaced by conflict and violence (number of people)</t>
  </si>
  <si>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“People displaced” refers to the number of people living in displacement as of the end of each year.</t>
  </si>
  <si>
    <t>21 July, 2017: International Finance Statistics data has been updated to reflect changes in reporting foreign exchange reserves in select countries. New data for workers' remittances and compensation of employees have been posted as well as Country Policy and Institutional Assessment ratings. A few country groupings have been revised after July 1, updates.</t>
  </si>
  <si>
    <t>GDP: linked series (current LCU)</t>
  </si>
  <si>
    <t>SP.POP.BRTH.MF</t>
  </si>
  <si>
    <t>Sex ratio at birth (male births per female births)</t>
  </si>
  <si>
    <t>Sex ratio at birth refers to male births per female births. The data are 5 year averages.</t>
  </si>
  <si>
    <t>SP.POP.TOTL.FE.IN</t>
  </si>
  <si>
    <t>Population, female</t>
  </si>
  <si>
    <t>Female population is based on the de facto definition of population, which counts all female residents regardless of legal status or citizenship.</t>
  </si>
  <si>
    <t>World Bank staff estimates using the World Bank's total population and age/sex distributions of the United Nations Population Division's World Population Prospects.</t>
  </si>
  <si>
    <t>SP.POP.TOTL.MA.IN</t>
  </si>
  <si>
    <t>Population, male</t>
  </si>
  <si>
    <t>Male population is based on the de facto definition of population, which counts all male residents regardless of legal status or citizenship.</t>
  </si>
  <si>
    <t>SP.POP.TOTL.MA.ZS</t>
  </si>
  <si>
    <t>Population, male (% of total)</t>
  </si>
  <si>
    <t>Male population is the percentage of the population that is male. Population is based on the de facto definition of population, which counts all residents regardless of legal status or citizenship.</t>
  </si>
  <si>
    <t>SP.POP.0014.FE.IN</t>
  </si>
  <si>
    <t>Population ages 0-14, female</t>
  </si>
  <si>
    <t>Female population between the ages 0 to 14. Population is based on the de facto definition of population, which counts all residents regardless of legal status or citizenship.</t>
  </si>
  <si>
    <t>SP.POP.0014.FE.ZS</t>
  </si>
  <si>
    <t>Population ages 0-14, female (% of total)</t>
  </si>
  <si>
    <t>Female population between the ages 0 to 14 as a percentage of the total female population. Population is based on the de facto definition of population.</t>
  </si>
  <si>
    <t>SP.POP.0014.MA.IN</t>
  </si>
  <si>
    <t>Population ages 0-14, male</t>
  </si>
  <si>
    <t>Male population between the ages 0 to 14. Population is based on the de facto definition of population, which counts all residents regardless of legal status or citizenship.</t>
  </si>
  <si>
    <t>SP.POP.0014.MA.ZS</t>
  </si>
  <si>
    <t>Population ages 0-14, male (% of total)</t>
  </si>
  <si>
    <t>Male population between the ages 0 to 14 as a percentage of the total male population. Population is based on the de facto definition of population.</t>
  </si>
  <si>
    <t>SP.POP.0014.TO</t>
  </si>
  <si>
    <t>Population ages 0-14, total</t>
  </si>
  <si>
    <t>Total population between the ages 0 to 14. Population is based on the de facto definition of population, which counts all residents regardless of legal status or citizenship.</t>
  </si>
  <si>
    <t>SP.POP.1564.FE.IN</t>
  </si>
  <si>
    <t>Population ages 15-64, female</t>
  </si>
  <si>
    <t>Female population between the ages 15 to 64. Population is based on the de facto definition of population, which counts all residents regardless of legal status or citizenship.</t>
  </si>
  <si>
    <t>SP.POP.1564.FE.ZS</t>
  </si>
  <si>
    <t>Population ages 15-64, female (% of total)</t>
  </si>
  <si>
    <t>Female population between the ages 15 to 64 as a percentage of the total female population. Population is based on the de facto definition of population, which counts all residents regardless of legal status or citizenship.</t>
  </si>
  <si>
    <t>SP.POP.1564.MA.IN</t>
  </si>
  <si>
    <t>Population ages 15-64, male</t>
  </si>
  <si>
    <t>Male population between the ages 15 to 64. Population is based on the de facto definition of population, which counts all residents regardless of legal status or citizenship.</t>
  </si>
  <si>
    <t>SP.POP.1564.MA.ZS</t>
  </si>
  <si>
    <t>Population ages 15-64, male (% of total)</t>
  </si>
  <si>
    <t>Male population between the ages 15 to 64 as a percentage of the total male population. Population is based on the de facto definition of population, which counts all residents regardless of legal status or citizenship.</t>
  </si>
  <si>
    <t>SP.POP.1564.TO</t>
  </si>
  <si>
    <t>Population ages 15-64, total</t>
  </si>
  <si>
    <t>Total population between the ages 15 to 64. Population is based on the de facto definition of population, which counts all residents regardless of legal status or citizenship.</t>
  </si>
  <si>
    <t>SP.POP.65UP.FE.IN</t>
  </si>
  <si>
    <t>Population ages 65 and above, female</t>
  </si>
  <si>
    <t>Female population 65 years of age or older. Population is based on the de facto definition of population, which counts all residents regardless of legal status or citizenship.</t>
  </si>
  <si>
    <t>SP.POP.65UP.FE.ZS</t>
  </si>
  <si>
    <t>Population ages 65 and above, female (% of total)</t>
  </si>
  <si>
    <t>Female population 65 years of age or older as a percentage of the total female population. Population is based on the de facto definition of population, which counts all residents regardless of legal status or citizenship.</t>
  </si>
  <si>
    <t>SP.POP.65UP.MA.IN</t>
  </si>
  <si>
    <t>Population ages 65 and above, male</t>
  </si>
  <si>
    <t>Male population 65 years of age or older. Population is based on the de facto definition of population, which counts all residents regardless of legal status or citizenship.</t>
  </si>
  <si>
    <t>SP.POP.65UP.MA.ZS</t>
  </si>
  <si>
    <t>Population ages 65 and above, male (% of total)</t>
  </si>
  <si>
    <t>Male population 65 years of age or older as a percentage of the total male population. Population is based on the de facto definition of population, which counts all residents regardless of legal status or citizenship.</t>
  </si>
  <si>
    <t>SP.POP.65UP.TO</t>
  </si>
  <si>
    <t>Population ages 65 and above, total</t>
  </si>
  <si>
    <t>Total population 65 years of age or older. Population is based on the de facto definition of population, which counts all residents regardless of legal status or citizenship.</t>
  </si>
  <si>
    <t>SH.H2O.BASW.RU.ZS</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</si>
  <si>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</si>
  <si>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WHO/UNICEF Joint Monitoring Programme (JMP) for Water Supply, Sanitation and Hygiene (washdata.org).</t>
  </si>
  <si>
    <t>SH.H2O.BASW.UR.ZS</t>
  </si>
  <si>
    <t>SH.H2O.BASW.ZS</t>
  </si>
  <si>
    <t>SH.H2O.SMDW.RU.ZS</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</si>
  <si>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</si>
  <si>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SH.H2O.SMDW.UR.ZS</t>
  </si>
  <si>
    <t>SH.H2O.SMDW.ZS</t>
  </si>
  <si>
    <t>SH.STA.BASS.RU.ZS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</si>
  <si>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</si>
  <si>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SH.STA.BASS.UR.ZS</t>
  </si>
  <si>
    <t>SH.STA.BASS.ZS</t>
  </si>
  <si>
    <t>SH.STA.SMSS.RU.ZS</t>
  </si>
  <si>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</si>
  <si>
    <t>SH.STA.SMSS.UR.ZS</t>
  </si>
  <si>
    <t>SH.STA.SMSS.ZS</t>
  </si>
  <si>
    <t>People using  basic drinking water services, rural (% of rural population)</t>
  </si>
  <si>
    <t>People using  basic drinking water services, urban (% of urban population)</t>
  </si>
  <si>
    <t>People using  basic drinking water services (% of population)</t>
  </si>
  <si>
    <t>People using  safely managed drinking water services, rural (% of rural population)</t>
  </si>
  <si>
    <t>People using  safely managed drinking water services, urban (% of urban population)</t>
  </si>
  <si>
    <t>People using  safely managed drinking water services (% of population)</t>
  </si>
  <si>
    <t>People using  basic sanitation services, rural (% of rural population)</t>
  </si>
  <si>
    <t>People using  basic sanitation services, urban  (% of urban population)</t>
  </si>
  <si>
    <t>People using  basic sanitation services (% of population)</t>
  </si>
  <si>
    <t>People using  safely managed sanitation services, rural (% of rural population)</t>
  </si>
  <si>
    <t>People using  safely managed sanitation services, urban  (% of urban population)</t>
  </si>
  <si>
    <t>People using  safely managed sanitation services (% of population)</t>
  </si>
  <si>
    <t>15 September, 2017: This update covers a set of indicators, mainly in State and Markets, Environment, and Social areas of WDI including data on population, intentional homicides, battle-related deaths, access to water, health, CO2 emissions, gender, technology, and communications. Minor corrections have also been implemented for few countries since the last update.</t>
  </si>
  <si>
    <t xml:space="preserve">SH.DYN.0514      </t>
  </si>
  <si>
    <t>Probability of dying at age 5-14 years (per 1,000 children age 5)</t>
  </si>
  <si>
    <t>Probability of dying between age 5-14 years of age expressed per 1,000 children aged 5, if subject to age-specific mortality rates of the specified year.</t>
  </si>
  <si>
    <t>Estimates Developed by the UN Inter-agency Group for Child Mortality Estimation (UNICEF, WHO, World Bank, UN DESA Population Division) at www.childmortality.org. Projected data are from the United Nations Population Division's World Population Prospects; and may in some cases not be consistent with data before the current year.</t>
  </si>
  <si>
    <t xml:space="preserve">SH.DTH.0514     </t>
  </si>
  <si>
    <t>Number of deaths ages 5-14 years</t>
  </si>
  <si>
    <t>Number of deaths of children ages 5-14 years</t>
  </si>
  <si>
    <t>12 October, 2017: The Poverty and Shared Prosperity data has been updated. Estimates are available for updated data and a revised set of indicators, including for new international poverty lines. Some indicators in Environment section have also been refreshed. Select corrections have been made to the historical countries classification files.</t>
  </si>
  <si>
    <t>October 19, 2017: New child mortality estimates were released with two additional indicators: Probability of dying at age 5-14 years (per 1,000 children age 5) and Number of deaths ages 5-14 years.</t>
  </si>
  <si>
    <t>Statistical Capacity score (Overall average)</t>
  </si>
  <si>
    <t>21 November, 2017: An update was processed, including specific indicators for Child Mortality, Doing Business, Environment, and Statistical Capacity. The country grouping has been revised.</t>
  </si>
  <si>
    <t>SG.TIM.UWRK.FE</t>
  </si>
  <si>
    <t>Proportion of time spent on unpaid domestic and care work, female (% of 24 hour day)</t>
  </si>
  <si>
    <t xml:space="preserve">The average time women spend on household provision of services for own consumption.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  
 </t>
  </si>
  <si>
    <t>National statistical offices or national database and publications compiled by United Nations Statistics Division</t>
  </si>
  <si>
    <t xml:space="preserve">Proportion of time spent on unpaid domestic and care work, male (% of 24 hour day) </t>
  </si>
  <si>
    <t xml:space="preserve">The average time men spend on household provision of services for own consumption.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  
 </t>
  </si>
  <si>
    <t>SG.DMK.SRCR.FN.ZS</t>
  </si>
  <si>
    <t>Women making their own informed decisions regarding sexual relations, contraceptive use and reproductive health care  (% of women age 15-49)</t>
  </si>
  <si>
    <t xml:space="preserve">Proportion of women ages 15-49 years (married or in union) who make their own decision on all three selected areas i.e. can say no to sexual intercourse with their husband or partner if they do not want; decide on use of contraception; and decide on their own health care. Only women who provide a “yes” answer to all three components are considered as women who “make her own decisions regarding sexual and reproductive”. </t>
  </si>
  <si>
    <t>Demographic and Health Surveys comiled by United Nations Population Fund</t>
  </si>
  <si>
    <t>SG.TIM.UWRK.MA</t>
  </si>
  <si>
    <t>IC.FRM.THEV.ZS</t>
  </si>
  <si>
    <t>Firms experiencing losses due to theft and vandalism (% of firms)</t>
  </si>
  <si>
    <t>IC.ELC.OUTG.ZS</t>
  </si>
  <si>
    <t>Firms experiencing electrical outages (% of firms)</t>
  </si>
  <si>
    <t>IC.FRM.METG.ZS</t>
  </si>
  <si>
    <t>Firms visited or required meetings with tax officials (% of firms)</t>
  </si>
  <si>
    <t>IC.FRM.RSDV.ZS</t>
  </si>
  <si>
    <t>Firms that spend on R&amp;D (% of firms)</t>
  </si>
  <si>
    <t>NV.MNF.TECH.ZS.UN</t>
  </si>
  <si>
    <t xml:space="preserve">Medium and high-tech industry (% manufacturing value added) </t>
  </si>
  <si>
    <t>TX.MNF.TECH.ZS.UN</t>
  </si>
  <si>
    <t>Medium and high-tech exports (% manufactured exports)</t>
  </si>
  <si>
    <t>Employment in agriculture (% of total employment)</t>
  </si>
  <si>
    <t>Employment in industry (% of total employment)</t>
  </si>
  <si>
    <t>Employment in services (% of total employment)</t>
  </si>
  <si>
    <t>Vulnerable employment, female (% of female employment)</t>
  </si>
  <si>
    <t>Vulnerable employment, male (% of male employment)</t>
  </si>
  <si>
    <t>Vulnerable employment, total (% of total employment)</t>
  </si>
  <si>
    <t>Employment in agriculture, female (% of female employment) (modeled ILO estimate)</t>
  </si>
  <si>
    <t>Employment in agriculture, male (% of male employment) (modeled ILO estimate)</t>
  </si>
  <si>
    <t>Employment in agriculture (% of total employment) (modeled ILO estimate)</t>
  </si>
  <si>
    <t>Employment in industry, female (% of female employment) (modeled ILO estimate)</t>
  </si>
  <si>
    <t>Employment in industry, male (% of male employment) (modeled ILO estimate)</t>
  </si>
  <si>
    <t>Employment in industry (% of total employment) (modeled ILO estimate)</t>
  </si>
  <si>
    <t>Employment in services, female (% of female employment) (modeled ILO estimate)</t>
  </si>
  <si>
    <t>Employment in services, male (% of male employment) (modeled ILO estimate)</t>
  </si>
  <si>
    <t>Employment in services (% of total employment) (modeled ILO estimate)</t>
  </si>
  <si>
    <t>Employers, female (% of female employment) (modeled ILO estimate)</t>
  </si>
  <si>
    <t>Employers, male (% of male employment) (modeled ILO estimate)</t>
  </si>
  <si>
    <t>Employers, total (% of total employment) (modeled ILO estimate)</t>
  </si>
  <si>
    <t>Self-employed, female (% of female employment) (modeled ILO estimate)</t>
  </si>
  <si>
    <t>Self-employed, male (% of male employment) (modeled ILO estimate)</t>
  </si>
  <si>
    <t>Self-employed, total (% of total employment) (modeled ILO estimate)</t>
  </si>
  <si>
    <t>Vulnerable employment, female (% of female employment) (modeled ILO estimate)</t>
  </si>
  <si>
    <t>Vulnerable employment, male (% of male employment) (modeled ILO estimate)</t>
  </si>
  <si>
    <t>Vulnerable employment, total (% of total employment) (modeled ILO estimate)</t>
  </si>
  <si>
    <t>Wage and salaried workers, female (% of female employment) (modeled ILO estimate)</t>
  </si>
  <si>
    <t>Wage and salaried workers, male (% of male employment) (modeled ILO estimate)</t>
  </si>
  <si>
    <t>Wage and salaried workers, total (% of total employment) (modeled ILO estimate)</t>
  </si>
  <si>
    <t>Contributing family workers, female (% of female employment) (modeled ILO estimate)</t>
  </si>
  <si>
    <t>Contributing family workers, male (% of male employment) (modeled ILO estimate)</t>
  </si>
  <si>
    <t>Contributing family workers, total (% of total employment) (modeled ILO estimate)</t>
  </si>
  <si>
    <t>IE.PPN.ICTI.CD</t>
  </si>
  <si>
    <t>Public private partnerships investment in ICT (current US$)</t>
  </si>
  <si>
    <t>15 December, 2017: The World Development Indicators have completed the last major update of 2017 with updates to most of its sections including Economy, Finance and Global Links, Health, Labor, and States and Markets. Few new indicators have been introduced and other recorded revised description. This edition also welcomes the Universal Health Coverage Global Monitoring Data.</t>
  </si>
  <si>
    <t>SH.UHC.SV.COV.IND</t>
  </si>
  <si>
    <t>UHC service coverage index</t>
  </si>
  <si>
    <t>SH.UHC.OOPC.10.ZS</t>
  </si>
  <si>
    <t>Proportion of population spending more than 10% of household consumption or income on out-of-pocket health care expenditure (%)</t>
  </si>
  <si>
    <t>SH.UHC.OOPC.10.TO</t>
  </si>
  <si>
    <t>Number of people spending more than 10% of household consumption or income on out-of-pocket health care expenditure</t>
  </si>
  <si>
    <t>SH.UHC.OOPC.25.ZS</t>
  </si>
  <si>
    <t>Proportion of population spending more than 25% of household consumption or income on out-of-pocket health care expenditure (%)</t>
  </si>
  <si>
    <t>SH.UHC.OOPC.25.TO</t>
  </si>
  <si>
    <t>Number of people spending more than 25% of household consumption or income on out-of-pocket health care expenditure</t>
  </si>
  <si>
    <t>SH.UHC.OOPC.40.ZS</t>
  </si>
  <si>
    <t>Proportion of population spending more than 40% of non-food consumption or income on out-of-pocket health care expenditure (%)</t>
  </si>
  <si>
    <t>SH.UHC.OOPC.40.TO</t>
  </si>
  <si>
    <t>Number of people spending more than 40% of non-food consumption or income on out-of-pocket health care expenditure</t>
  </si>
  <si>
    <t>SH.UHC.NOP1.ZS</t>
  </si>
  <si>
    <t>Proportion of population pushed below the $1.90 ($ 2011 PPP) poverty line by out-of-pocket health care expenditure (%)</t>
  </si>
  <si>
    <t>SH.UHC.NOP1.TO</t>
  </si>
  <si>
    <t>Number of people pushed below the $1.90 ($ 2011 PPP) poverty line by out-of-pocket health care expenditure</t>
  </si>
  <si>
    <t>SH.UHC.NOP2.ZS</t>
  </si>
  <si>
    <t>Proportion of population pushed below the $3.10 ($ 2011 PPP) poverty line by out-of-pocket health care expenditure (%)</t>
  </si>
  <si>
    <t>SH.UHC.NOP2.TO</t>
  </si>
  <si>
    <t>Number of people pushed below the $3.10 ($ 2011 PPP) poverty line by out-of-pocket health care expenditure</t>
  </si>
  <si>
    <t>SH.UHC.CONS.ZS</t>
  </si>
  <si>
    <t>Proportion of population pushed below the 50% median consumption poverty line by out-of-pocket health care expenditure (%)</t>
  </si>
  <si>
    <t>SH.UHC.CONS.TO</t>
  </si>
  <si>
    <t>Number of people pushed below the 50% median consumption poverty line by out-of-pocket health care expenditure</t>
  </si>
  <si>
    <t>SH.UHC.NOP1.ZG</t>
  </si>
  <si>
    <t>Increase in poverty gap at $1.90 ($ 2011 PPP) poverty line due to out-of-pocket health care expenditure (% of poverty line)</t>
  </si>
  <si>
    <t>SH.UHC.NOP1.CG</t>
  </si>
  <si>
    <t>Increase in poverty gap at $1.90 ($ 2011 PPP) poverty line due to out-of-pocket health care expenditure (USD)</t>
  </si>
  <si>
    <t>SH.UHC.NOP2.ZG</t>
  </si>
  <si>
    <t>Increase in poverty gap at $3.10 ($ 2011 PPP) poverty line due to out-of-pocket health care expenditure (% of poverty line)</t>
  </si>
  <si>
    <t>SH.UHC.NOP2.CG</t>
  </si>
  <si>
    <t>Increase in poverty gap at $3.10 ($ 2011 PPP) poverty line due to out-of-pocket health care expenditure (USD)</t>
  </si>
  <si>
    <t>Number of visits or required meetings with tax officials (average for affected firms)</t>
  </si>
  <si>
    <t>Number of visits or required meetings of affected firms with tax officials</t>
  </si>
  <si>
    <t>IC.FRM.CRIM.ZS</t>
  </si>
  <si>
    <t>Losses due to theft and vandalism (% of annual sales for affected firms)</t>
  </si>
  <si>
    <t>Losses due to theft and vandalism (% of annual sales of affected firms)</t>
  </si>
  <si>
    <t>Emigration rate of tertiary educated (% of total tertiary educated population)</t>
  </si>
  <si>
    <t>DC.ODA.TOTL.KD</t>
  </si>
  <si>
    <t>Net ODA provided, total (constant 2015 US$)</t>
  </si>
  <si>
    <t>Net official aid received (constant 2015 US$)</t>
  </si>
  <si>
    <t>Net official development assistance received (constant 2015 US$)</t>
  </si>
  <si>
    <t>Net official development assistance and official aid received (constant 2015 US$)</t>
  </si>
  <si>
    <t>Net ODA provided, total (constant 2014 US$)</t>
  </si>
  <si>
    <t>People using basic drinking water services, rural (% of rural population)</t>
  </si>
  <si>
    <t>People using at least basic drinking water services, rural (% of rural population)</t>
  </si>
  <si>
    <t>People using basic drinking water services, urban (% of urban population)</t>
  </si>
  <si>
    <t>People using at least basic drinking water services, urban (% of urban population)</t>
  </si>
  <si>
    <t>People using basic drinking water services (% of population)</t>
  </si>
  <si>
    <t>People using at least basic drinking water services (% of population)</t>
  </si>
  <si>
    <t>People using basic sanitation services, rural (% of rural population)</t>
  </si>
  <si>
    <t>People using at least basic sanitation services, rural (% of rural population)</t>
  </si>
  <si>
    <t>People using basic sanitation services, urban  (% of urban population)</t>
  </si>
  <si>
    <t>People using at least basic sanitation services, urban  (% of urban population)</t>
  </si>
  <si>
    <t>People using basic sanitation services (% of population)</t>
  </si>
  <si>
    <t>People using at least basic sanitation services (% of population)</t>
  </si>
  <si>
    <t>SP.REG.BRTH.MA.ZS</t>
  </si>
  <si>
    <t>SP.REG.BRTH.FE.ZS</t>
  </si>
  <si>
    <t>SP.M15.2024.FE.ZS</t>
  </si>
  <si>
    <t>Women who were first married by age 15 (% of women ages 20-24)</t>
  </si>
  <si>
    <t>SH.STA.HYGN.ZS</t>
  </si>
  <si>
    <t>People with basic handwashing facilities including soap and water (%)</t>
  </si>
  <si>
    <t>SH.STA.HYGN.RU.ZS</t>
  </si>
  <si>
    <t>People with basic handwashing facilities including soap and water, rural (% of rural population)</t>
  </si>
  <si>
    <t>SH.STA.HYGN.UR.ZS</t>
  </si>
  <si>
    <t>People with basic handwashing facilities including soap and water, urban (% of urban population)</t>
  </si>
  <si>
    <t>NV.AGR.EMPL.KD</t>
  </si>
  <si>
    <t>NV.IND.EMPL.KD</t>
  </si>
  <si>
    <t>Industry value added per worker (constant 2010 US$)</t>
  </si>
  <si>
    <t>Social Protection &amp; Labor</t>
  </si>
  <si>
    <t>NV.SRV.EMPL.KD</t>
  </si>
  <si>
    <t>Services value added per worker (constant 2010 US$)</t>
  </si>
  <si>
    <t>FX.OWN.TOTL.40.ZS</t>
  </si>
  <si>
    <t>Account ownership at a financial institution or with a mobile-money-service provider, poorest 40% (% of population ages 15+)</t>
  </si>
  <si>
    <t>FX.OWN.TOTL.60.ZS</t>
  </si>
  <si>
    <t>Account ownership at a financial institution or with a mobile-money-service provider, richest 60% (% of population ages 15+)</t>
  </si>
  <si>
    <t>FX.OWN.TOTL.FE.ZS</t>
  </si>
  <si>
    <t>Account ownership at a financial institution or with a mobile-money-service provider, female (% of population ages 15+)</t>
  </si>
  <si>
    <t>FX.OWN.TOTL.MA.ZS</t>
  </si>
  <si>
    <t>Account ownership at a financial institution or with a mobile-money-service provider, male (% of population ages 15+)</t>
  </si>
  <si>
    <t>FX.OWN.TOTL.OL.ZS</t>
  </si>
  <si>
    <t>Account ownership at a financial institution or with a mobile-money-service provider, older adults (% of population ages 25+)</t>
  </si>
  <si>
    <t>FX.OWN.TOTL.PL.ZS</t>
  </si>
  <si>
    <t>Account ownership at a financial institution or with a mobile-money-service provider, primary education or less (% of population ages 15+)</t>
  </si>
  <si>
    <t>FX.OWN.TOTL.SO.ZS</t>
  </si>
  <si>
    <t>Account ownership at a financial institution or with a mobile-money-service provider, secondary education or more (% of population ages 15+)</t>
  </si>
  <si>
    <t>FX.OWN.TOTL.YG.ZS</t>
  </si>
  <si>
    <t>Account ownership at a financial institution or with a mobile-money-service provider, young adults (% of population ages 15-24)</t>
  </si>
  <si>
    <t>FX.OWN.TOTL.ZS</t>
  </si>
  <si>
    <t>Account ownership at a financial institution or with a mobile-money-service provider (% of population ages 15+)</t>
  </si>
  <si>
    <t>People with basic handwashing facilities including soap and water (% of populartion)</t>
  </si>
  <si>
    <t>SH.UHC.SRVS.CV.XD</t>
  </si>
  <si>
    <t>ER.H2O.FWST.ZS</t>
  </si>
  <si>
    <t>Level of water stress: freshwater withdrawal as a proportion of available freshwater resources</t>
  </si>
  <si>
    <t>Environment</t>
  </si>
  <si>
    <t>EN.ATM.PM25.MC.T1.ZS</t>
  </si>
  <si>
    <t>PM2.5 pollution, population exposed to levels exceeding WHO Interim Target-1 value (% of total)</t>
  </si>
  <si>
    <t>Percent of population exposed to ambient concentrations of PM2.5 that exceed the World Health Organization (WHO) Interim Target 1 (IT-1) is defined as the portion of a country’s population living in places where mean annual concentrations of PM2.5 are greater than 35 micrograms per cubic meter. The Air Quality Guideline (AQG) of 10 micrograms per cubic meter is recommended by the WHO as the lower end of the range of concentrations over which adverse health effects due to PM2.5 exposure have been observed.</t>
  </si>
  <si>
    <t>Brauer, M. et al. 2016, for the Global Burden of Disease Study 2016.</t>
  </si>
  <si>
    <t>EN.ATM.PM25.MC.T2.ZS</t>
  </si>
  <si>
    <t>PM2.5 pollution, population exposed to levels exceeding WHO Interim Target-2 value (% of total)</t>
  </si>
  <si>
    <t xml:space="preserve">Percent of population exposed to ambient concentrations of PM2.5 that exceed the World Health Organization (WHO) Interim Target 2 (IT-2) is defined as the portion of a country’s population living in places where mean annual concentrations of PM2.5 are greater than 25 micrograms per cubic meter. The Air Quality Guideline (AQG) of 10 micrograms per cubic meter is recommended by the WHO as the lower end of the range of concentrations over which adverse health effects due to PM2.5 exposure have been observed. </t>
  </si>
  <si>
    <t>EN.ATM.PM25.MC.T3.ZS</t>
  </si>
  <si>
    <t>PM2.5 pollution, population exposed to levels exceeding WHO Interim Target-3 value (% of total)</t>
  </si>
  <si>
    <t xml:space="preserve">Percent of population exposed to ambient concentrations of PM2.5 that exceed the World Health Organization (WHO) Interim Target 3 (IT-3) is defined as the portion of a country’s population living in places where mean annual concentrations of PM2.5 are greater than 15 micrograms per cubic meter. The Air Quality Guideline (AQG) of 10 micrograms per cubic meter is recommended by the WHO as the lower end of the range of concentrations over which adverse health effects due to PM2.5 exposure have been observed. </t>
  </si>
  <si>
    <t>SH.XPD.CHEX.GD.ZS</t>
  </si>
  <si>
    <t>Current health expenditure (% of GDP)</t>
  </si>
  <si>
    <t>SH.XPD.CHEX.PC.CD</t>
  </si>
  <si>
    <t>Current health expenditure per capita (current US$)</t>
  </si>
  <si>
    <t>SH.XPD.CHEX.PP.CD</t>
  </si>
  <si>
    <t>Current health expenditure per capita, PPP (current international $)</t>
  </si>
  <si>
    <t>SH.XPD.EHEX.CH.ZS</t>
  </si>
  <si>
    <t>External health expenditure (% of current health expenditure)</t>
  </si>
  <si>
    <t>SH.XPD.EHEX.PC.CD</t>
  </si>
  <si>
    <t>External health expenditure per capita (current US$)</t>
  </si>
  <si>
    <t>SH.XPD.EHEX.PP.CD</t>
  </si>
  <si>
    <t>External health expenditure per capita, PPP (current international $)</t>
  </si>
  <si>
    <t>SH.XPD.GHED.CH.ZS</t>
  </si>
  <si>
    <t>Domestic general government health expenditure (% of current health expenditure)</t>
  </si>
  <si>
    <t>SH.XPD.GHED.GD.ZS</t>
  </si>
  <si>
    <t>Domestic general government health expenditure (% of GDP)</t>
  </si>
  <si>
    <t>SH.XPD.GHED.GE.ZS</t>
  </si>
  <si>
    <t>Domestic general government health expenditure (% of general government expenditure)</t>
  </si>
  <si>
    <t>SH.XPD.GHED.PC.CD</t>
  </si>
  <si>
    <t>Domestic general government health expenditure per capita (current US$)</t>
  </si>
  <si>
    <t>SH.XPD.GHED.PP.CD</t>
  </si>
  <si>
    <t>Domestic general government health expenditure per capita, PPP (current international $)</t>
  </si>
  <si>
    <t>SH.XPD.OOPC.CH.ZS</t>
  </si>
  <si>
    <t>Out-of-pocket expenditure (% of current health expenditure)</t>
  </si>
  <si>
    <t>SH.XPD.OOPC.PC.CD</t>
  </si>
  <si>
    <t>Out-of-pocket expenditure per capita (current US$)</t>
  </si>
  <si>
    <t>SH.XPD.OOPC.PP.CD</t>
  </si>
  <si>
    <t>Out-of-pocket expenditure per capita, PPP (current international $)</t>
  </si>
  <si>
    <t>SH.XPD.PVTD.CH.ZS</t>
  </si>
  <si>
    <t>Domestic private health expenditure (% of current health expenditure)</t>
  </si>
  <si>
    <t>SH.XPD.PVTD.PC.CD</t>
  </si>
  <si>
    <t>Domestic private health expenditure per capita (current US$)</t>
  </si>
  <si>
    <t>SH.XPD.PVTD.PP.CD</t>
  </si>
  <si>
    <t>Domestic private health expenditure per capita, PPP  (current international $)</t>
  </si>
  <si>
    <t>Coverage of essential health services (defined as the average coverage of essential services based on tracer interventions that include reproductive, maternal, newborn and child health, infectious diseases, noncommunicable diseases and service capacity and access, among the general and the most disadvantaged population).</t>
  </si>
  <si>
    <t>Hogan et al. An index of the coverage of essential health services for monitoring UHC within the SDGs, Lancet Global Health 2017.</t>
  </si>
  <si>
    <t>Health: Universal Health Coverage</t>
  </si>
  <si>
    <t>Agriculture, value added per worker (constant 2010 US$)</t>
  </si>
  <si>
    <t xml:space="preserve">Value added per worker is a measure of labor productivity—value added per unit of input. Value added denotes the net output of a sector after adding up all outputs and subtracting intermediate inputs. Data are in constant 2010 U.S. dollars. Agriculture corresponds to the International Standard Industrial Classification (ISIC) tabulation categories A and B (revision 3) or tabulation category A (revision 4), and includes forestry, hunting, and fishing as well as cultivation of crops and livestock production. </t>
  </si>
  <si>
    <t>Derived using World Bank national accounts data and OECD National Accounts data files, and employment data from International Labour Organization, ILOSTAT database.</t>
  </si>
  <si>
    <t>Economic Policy &amp; Debt: National accounts: US$ at constant 2010 prices: Value added</t>
  </si>
  <si>
    <t>Average transaction cost of sending remittance from a specific country is the average of the total transaction cost in percentage of the amount sent for sending USD 200 charged by each single remittance service provider (RSP) included in the Remittance Prices Worldwide (RPW) database from a specific country.</t>
  </si>
  <si>
    <t>International Labour Organization, ILOSTAT database. Data retrieved in March 2017.</t>
  </si>
  <si>
    <t>Share of women in wage employment in the nonagricultural sector (%)</t>
  </si>
  <si>
    <t>Improved water source (% of population with access)</t>
  </si>
  <si>
    <t>Improved water source, rural (% of rural population with access)</t>
  </si>
  <si>
    <t>Improved water source, urban (% of urban population with access)</t>
  </si>
  <si>
    <t>Improved sanitation facilities (% of population with access)</t>
  </si>
  <si>
    <t>Improved sanitation facilities, rural (% of rural population with access)</t>
  </si>
  <si>
    <t>Improved sanitation facilities, urban (% of urban population with access)</t>
  </si>
  <si>
    <t>External resources for health (% of total expenditure on health)</t>
  </si>
  <si>
    <t>Out-of-pocket health expenditure (% of private expenditure on health)</t>
  </si>
  <si>
    <t>Health expenditure per capita (current US$)</t>
  </si>
  <si>
    <t>Health expenditure, private (% of GDP)</t>
  </si>
  <si>
    <t>Health expenditure, public (% of total health expenditure)</t>
  </si>
  <si>
    <t>Health expenditure, public (% of government expenditure)</t>
  </si>
  <si>
    <t>Health expenditure, public (% of GDP)</t>
  </si>
  <si>
    <t>Health expenditure, total (% of GDP)</t>
  </si>
  <si>
    <t xml:space="preserve">Completeness of birth registration, female (%) </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</si>
  <si>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</si>
  <si>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UNICEF's State of the World's Children based mostly on household surveys and ministry of health data.</t>
  </si>
  <si>
    <t xml:space="preserve">Completeness of birth registration, male (%) </t>
  </si>
  <si>
    <t>Women who were first married by age 15 refers to the percentage of women ages 20-24 who were first married by age 15.</t>
  </si>
  <si>
    <t>Gender: Agency</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</si>
  <si>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</si>
  <si>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</si>
  <si>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World Health Organization Global Health Expenditure database (http://apps.who.int/nha/database).</t>
  </si>
  <si>
    <t>Current expenditures on health per capita in current US dollars. Estimates of current health expenditures include healthcare goods and services consumed during each year.</t>
  </si>
  <si>
    <t>Current expenditures on health per capita expressed in international dollars at purchasing power parity (PPP).</t>
  </si>
  <si>
    <t>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They do not include external resources spent by governments on health.</t>
  </si>
  <si>
    <t>Public expenditure on health from domestic sources as a share of total public expenditure.  It indicates the priority of the government to spend on health from own domestic public resources.</t>
  </si>
  <si>
    <t>Public expenditure on health from domestic sources as a share of the economy as measured by GDP.</t>
  </si>
  <si>
    <t>Public expenditure on health from domestic sources per capita expressed in current US dollars.</t>
  </si>
  <si>
    <t>Public expenditure on health from domestic sources per capita expressed in international dollars at purchasing power parity (PPP).</t>
  </si>
  <si>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</si>
  <si>
    <t>Current private expenditures on health per capita expressed in current US dollars. Domestic private sources include funds from households, corporations and non-profit organizations. Such expenditures can be either prepaid to voluntary health insurance or paid directly to healthcare providers.</t>
  </si>
  <si>
    <t>Current private expenditures on health per capita expressed in international dollars at purchasing power parity (PPP).</t>
  </si>
  <si>
    <t>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t>
  </si>
  <si>
    <t>Current external expenditures on health per capita expressed in current US dollars. External sources are composed of direct foreign transfers and foreign transfers distributed by government encompassing all financial inflows into the national health system from outside the country.</t>
  </si>
  <si>
    <t>Current external expenditures on health per capita expressed in international dollars at purchasing power parity (PPP). External sources are composed of direct foreign transfers and foreign transfers distributed by government encompassing all financial inflows into the national health system from outside the country.</t>
  </si>
  <si>
    <t>Share of out-of-pocket payments of total current health expenditures.  Out-of-pocket payments are spending on health directly out-of-pocket by households.</t>
  </si>
  <si>
    <t>Health expenditure through out-of-pocket payments per capita in USD.  Out of pocket payments are spending on health directly out of pocket by households in each country.</t>
  </si>
  <si>
    <t>Health expenditure through out-of-pocket payments per capita in international dollars at purchasing power parity (PPP).</t>
  </si>
  <si>
    <t>TX.UVI.MRCH.XD.WD</t>
  </si>
  <si>
    <t>TM.UVI.MRCH.XD.WD</t>
  </si>
  <si>
    <t>Export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t>
  </si>
  <si>
    <t>United Nations Conference on Trade and Development, Handbook of Statistics and data files. (http://unctadstat.unctad.org)</t>
  </si>
  <si>
    <t>Private Sector &amp; Trade: Trade price indices</t>
  </si>
  <si>
    <t>Import unit value index (2000 = 100)</t>
  </si>
  <si>
    <t>Export unit value index (2000 = 100)</t>
  </si>
  <si>
    <t>Import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t>
  </si>
  <si>
    <t>DC.ODA.TLDC.GN.ZS</t>
  </si>
  <si>
    <t>DC.ODA.TLDC.CD</t>
  </si>
  <si>
    <t>DC.ODA.TOTL.GN.ZS</t>
  </si>
  <si>
    <t>DC.ODA.TOTL.CD</t>
  </si>
  <si>
    <t>Net ODA provided to the least developed countries (% of GNI)</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</si>
  <si>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 Series is shown as a share of donors' GNI.</t>
  </si>
  <si>
    <t>Net ODA provided, to the least developed countries (current US$)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</si>
  <si>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t>
  </si>
  <si>
    <t>Net ODA provided, total (% of GNI)</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</si>
  <si>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It is shown as a share of donors' GNI.</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</si>
  <si>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Data are in constant 2015 U.S. dollars.</t>
  </si>
  <si>
    <t>Net ODA provided, total (current US$)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</si>
  <si>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t>
  </si>
  <si>
    <t>Account denotes the percentage of respondents who report having an account (by themselves or together with someone else) at a bank or another type of financial institution or report personally using a mobile money service in the past 12 months (% age 15+).</t>
  </si>
  <si>
    <t>Demirguc-Kunt et al., 2018, Global Financial Inclusion Database, World Bank.</t>
  </si>
  <si>
    <t>Account denotes the percentage of respondents who report having an account (by themselves or together with someone else) at a bank or another type of financial institution or report personally using a mobile money service in the past 12 months (female, % age 15+).</t>
  </si>
  <si>
    <t>Account denotes the percentage of respondents who report having an account (by themselves or together with someone else) at a bank or another type of financial institution or report personally using a mobile money service in the past 12 months (male, % age 15+).</t>
  </si>
  <si>
    <t>Account denotes the percentage of respondents who report having an account (by themselves or together with someone else) at a bank or another type of financial institution or report personally using a mobile money service in the past 12 months (older adults, % of population ages 25+).</t>
  </si>
  <si>
    <t>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</si>
  <si>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t>
  </si>
  <si>
    <t>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</si>
  <si>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t>
  </si>
  <si>
    <t>Account denotes the percentage of respondents who report having an account (by themselves or together with someone else) at a bank or another type of financial institution or report personally using a mobile money service in the past 12 months (young adults, % of population ages 15-24).</t>
  </si>
  <si>
    <t>18 May, 2018: A minor update was made to the World Development Indicators to reflect corrections to West Bank and Gaza and Qatar National Accounts. New data and metadata were also added for select indicators on poverty distribution, child malnutrition, and foreign direct investment.</t>
  </si>
  <si>
    <t>15 February, 2018: During this release, we have restored 2011 Purchasing Power Parities and related extrapolations for West Bank and Gaza. National Accounts data are still reported in USD. We have updated macroeconomic, environment, aid and tourism.indicators.</t>
  </si>
  <si>
    <t>SI.POV.LMIC.GP</t>
  </si>
  <si>
    <t>Poverty gap at $3.20 a day (2011 PPP) (%)</t>
  </si>
  <si>
    <t>Poverty gap at $3.20 a day (2011 PPP) (% of population)</t>
  </si>
  <si>
    <t>Poverty gap at $5.50 a day (2011 PPP) (% of population)</t>
  </si>
  <si>
    <t>Poverty gap at $5.50 a day (2011 PPP) (%)</t>
  </si>
  <si>
    <t>SI.POV.UMIC.GP</t>
  </si>
  <si>
    <t>Private investment in telecoms (current US$)</t>
  </si>
  <si>
    <t>NE.CON.PETC.CD</t>
  </si>
  <si>
    <t>Household final consumption expenditure, etc. (current US$)</t>
  </si>
  <si>
    <t>NE.CON.PETC.CN</t>
  </si>
  <si>
    <t>Household final consumption expenditure, etc. (current LCU)</t>
  </si>
  <si>
    <t>Household final consumption expenditure, etc. (annual % growth)</t>
  </si>
  <si>
    <t>NE.CON.PETC.KN</t>
  </si>
  <si>
    <t>Household final consumption expenditure, etc. (constant LCU)</t>
  </si>
  <si>
    <t>NE.CON.PETC.ZS</t>
  </si>
  <si>
    <t>Household final consumption expenditure, etc. (% of GDP)</t>
  </si>
  <si>
    <t>NE.CON.TETC.CD</t>
  </si>
  <si>
    <t>Final consumption expenditure, etc. (current US$)</t>
  </si>
  <si>
    <t>NE.CON.TETC.CN</t>
  </si>
  <si>
    <t>Final consumption expenditure, etc. (current LCU)</t>
  </si>
  <si>
    <t>Final consumption expenditure, etc. (annual % growth)</t>
  </si>
  <si>
    <t>NE.CON.TETC.KN</t>
  </si>
  <si>
    <t>Final consumption expenditure, etc. (constant LCU)</t>
  </si>
  <si>
    <t>NE.CON.TETC.ZS</t>
  </si>
  <si>
    <t>Final consumption expenditure, etc. (% of GDP)</t>
  </si>
  <si>
    <t>NV.SRV.TETC.CD</t>
  </si>
  <si>
    <t>Services, etc., value added (current US$)</t>
  </si>
  <si>
    <t>NV.SRV.TETC.CN</t>
  </si>
  <si>
    <t>Services, etc., value added (current LCU)</t>
  </si>
  <si>
    <t>Services, etc., value added (annual % growth)</t>
  </si>
  <si>
    <t>NV.SRV.TETC.KN</t>
  </si>
  <si>
    <t>Services, etc., value added (constant LCU)</t>
  </si>
  <si>
    <t>NV.SRV.TETC.ZS</t>
  </si>
  <si>
    <t>Services, etc., value added (% of GDP)</t>
  </si>
  <si>
    <t>NE.CON.PRVT.ZS</t>
  </si>
  <si>
    <t>Households and NPISHs final consumption expenditure (% of GDP)</t>
  </si>
  <si>
    <t>NE.CON.TOTL.ZS</t>
  </si>
  <si>
    <t>Final consumption expenditure (% of GDP)</t>
  </si>
  <si>
    <t>NE.CON.TOTL.KD.ZG</t>
  </si>
  <si>
    <t>Final consumption expenditure (annual % growth)</t>
  </si>
  <si>
    <t>NV.SRV.TOTL.KD</t>
  </si>
  <si>
    <t>Services, value added (constant 2010 US$)</t>
  </si>
  <si>
    <t>NV.SRV.TOTL.KD.ZG</t>
  </si>
  <si>
    <t>Services, value added (annual % growth)</t>
  </si>
  <si>
    <t>NV.SRV.TOTL.ZS</t>
  </si>
  <si>
    <t>Services, value added (% of GDP)</t>
  </si>
  <si>
    <t>NV.FSM.TOTL.CN</t>
  </si>
  <si>
    <t>Financial intermediary services indirectly Measured (FISIM) (current LCU)</t>
  </si>
  <si>
    <t>NV.FSM.TOTL.KN</t>
  </si>
  <si>
    <t>Financial intermediary services indirectly Measured (FISIM) (constant LCU)</t>
  </si>
  <si>
    <t>NE.CON.PRVT.CD</t>
  </si>
  <si>
    <t>Households and NPISHs Final consumption expenditure (current US$)</t>
  </si>
  <si>
    <t>NE.CON.PRVT.CN</t>
  </si>
  <si>
    <t>Households and NPISHs Final consumption expenditure (current LCU)</t>
  </si>
  <si>
    <t>Households and NPISHs Final consumption expenditure (constant 2010 US$)</t>
  </si>
  <si>
    <t>Households and NPISHs Final consumption expenditure (annual % growth)</t>
  </si>
  <si>
    <t>NE.CON.PRVT.KN</t>
  </si>
  <si>
    <t>Households and NPISHs Final consumption expenditure (constant LCU)</t>
  </si>
  <si>
    <t>Households and NPISHs Final consumption expenditure per capita (constant 2010 US$)</t>
  </si>
  <si>
    <t>Households and NPISHs Final consumption expenditure per capita growth (annual %)</t>
  </si>
  <si>
    <t>Households and NPISHs Final consumption expenditure, PPP (current international $)</t>
  </si>
  <si>
    <t>Households and NPISHs Final consumption expenditure, PPP (constant 2011 international $)</t>
  </si>
  <si>
    <t>Agriculture, forestry, and fishing, value added per worker (constant 2010 US$)</t>
  </si>
  <si>
    <t>NV.AGR.TOTL.CD</t>
  </si>
  <si>
    <t>Agriculture, forestry, and fishing, value added (current US$)</t>
  </si>
  <si>
    <t>NV.AGR.TOTL.CN</t>
  </si>
  <si>
    <t>Agriculture, forestry, and fishing, value added (current LCU)</t>
  </si>
  <si>
    <t>Agriculture, forestry, and fishing, value added (constant 2010 US$)</t>
  </si>
  <si>
    <t>Agriculture, forestry, and fishing, value added (annual % growth)</t>
  </si>
  <si>
    <t>NV.AGR.TOTL.KN</t>
  </si>
  <si>
    <t>Agriculture, forestry, and fishing, value added (constant LCU)</t>
  </si>
  <si>
    <t>NV.AGR.TOTL.ZS</t>
  </si>
  <si>
    <t>Agriculture, forestry, and fishing, value added (% of GDP)</t>
  </si>
  <si>
    <t>Industry (including construction), value added per worker (constant 2010 US$)</t>
  </si>
  <si>
    <t>NV.IND.GELW.CD</t>
  </si>
  <si>
    <t>Electricity, gas and water supply, value added (current US$)</t>
  </si>
  <si>
    <t>NV.IND.GELW.CN</t>
  </si>
  <si>
    <t>Electricity, gas and water supply, value added (current LCU)</t>
  </si>
  <si>
    <t>NV.IND.GELW.KN</t>
  </si>
  <si>
    <t>Electricity, gas and water supply, value added (constant LCU)</t>
  </si>
  <si>
    <t>NV.IND.TOTL.CD</t>
  </si>
  <si>
    <t>Industry (including construction), value added (current US$)</t>
  </si>
  <si>
    <t>NV.IND.TOTL.CN</t>
  </si>
  <si>
    <t>Industry (including construction), value added (current LCU)</t>
  </si>
  <si>
    <t>Industry (including construction), value added (constant 2010 US$)</t>
  </si>
  <si>
    <t>Industry (including construction), value added (annual % growth)</t>
  </si>
  <si>
    <t>NV.IND.TOTL.KN</t>
  </si>
  <si>
    <t>Industry (including construction), value added (constant LCU)</t>
  </si>
  <si>
    <t>NV.IND.TOTL.ZS</t>
  </si>
  <si>
    <t>Industry (including construction), value added (% of GDP)</t>
  </si>
  <si>
    <t>Medium and high-tech Industry (including construction) (% manufacturing value added)</t>
  </si>
  <si>
    <t>NV.SRV.ADMN.CD</t>
  </si>
  <si>
    <t>Public administration and defence, value added (current US$)</t>
  </si>
  <si>
    <t>NV.SRV.ADMN.CN</t>
  </si>
  <si>
    <t>Public administration and defence, value added (current LCU)</t>
  </si>
  <si>
    <t>NV.SRV.ADMN.KN</t>
  </si>
  <si>
    <t>Public administration and defence, value added (constant LCU)</t>
  </si>
  <si>
    <t>NV.SRV.BNKG.CD</t>
  </si>
  <si>
    <t>Financial and insurance activities (banking), value added (current US$)</t>
  </si>
  <si>
    <t>NV.SRV.BNKG.CN</t>
  </si>
  <si>
    <t>Financial and insurance activities (banking), value added (current LCU)</t>
  </si>
  <si>
    <t>NV.SRV.BNKG.KN</t>
  </si>
  <si>
    <t>Financial and insurance activities (banking), value added (constant LCU)</t>
  </si>
  <si>
    <t>NV.SRV.TRAN.CD</t>
  </si>
  <si>
    <t>Transportation, storage and communication, value added (current US$)</t>
  </si>
  <si>
    <t>NV.SRV.TRAN.CN</t>
  </si>
  <si>
    <t>Transportation, storage and communication, value added (current LCU)</t>
  </si>
  <si>
    <t>NV.SRV.TRAN.KN</t>
  </si>
  <si>
    <t>Transportation, storage and communication, value added (constant LCU)</t>
  </si>
  <si>
    <t>NY.GDP.FCST.CD</t>
  </si>
  <si>
    <t>Gross value added at basic prices (GVA) (current US$)</t>
  </si>
  <si>
    <t>NY.GDP.FCST.CN</t>
  </si>
  <si>
    <t>Gross value added at basic prices (GVA) (current LCU)</t>
  </si>
  <si>
    <t>Gross value added at basic prices (GVA) (constant 2010 US$)</t>
  </si>
  <si>
    <t>NY.GDP.FCST.KN</t>
  </si>
  <si>
    <t>Gross value added at basic prices (GVA) (constant LCU)</t>
  </si>
  <si>
    <t>NY.GSR.NFCY.CD</t>
  </si>
  <si>
    <t>Net primary income (Net income from abroad) (current US$)</t>
  </si>
  <si>
    <t>NY.GSR.NFCY.CN</t>
  </si>
  <si>
    <t>Net primary income (Net income from abroad) (current LCU)</t>
  </si>
  <si>
    <t>NY.GSR.NFCY.KN</t>
  </si>
  <si>
    <t>Net primary income (Net income from abroad) (constant LCU)</t>
  </si>
  <si>
    <t>NY.TAX.NIND.CD</t>
  </si>
  <si>
    <t>Taxes less subsidies on products (current US$)</t>
  </si>
  <si>
    <t>NY.TAX.NIND.CN</t>
  </si>
  <si>
    <t>Taxes less subsidies on products (current LCU)</t>
  </si>
  <si>
    <t>NY.TAX.NIND.KN</t>
  </si>
  <si>
    <t>Taxes less subsidies on products (constant LCU)</t>
  </si>
  <si>
    <t>NY.TRF.NCTR.CD</t>
  </si>
  <si>
    <t>Net secondary income (Net current transfers from abroad) (current US$)</t>
  </si>
  <si>
    <t>NY.TRF.NCTR.CN</t>
  </si>
  <si>
    <t>Net secondary income (Net current transfers from abroad) (current LCU)</t>
  </si>
  <si>
    <t>NY.TRF.NCTR.KN</t>
  </si>
  <si>
    <t>Net secondary income (Net current transfers from abroad) (constant LCU)</t>
  </si>
  <si>
    <t>Household final consumption expenditure (current US$)</t>
  </si>
  <si>
    <t>Household final consumption expenditure (current LCU)</t>
  </si>
  <si>
    <t>Household final consumption expenditure (annual % growth)</t>
  </si>
  <si>
    <t>Household final consumption expenditure (constant LCU)</t>
  </si>
  <si>
    <t>Household final consumption expenditure per capita growth (annual %)</t>
  </si>
  <si>
    <t>Household final consumption expenditure, PPP (current international $)</t>
  </si>
  <si>
    <t>Agriculture, value added (current US$)</t>
  </si>
  <si>
    <t>Agriculture, value added (current LCU)</t>
  </si>
  <si>
    <t>Agriculture, value added (annual % growth)</t>
  </si>
  <si>
    <t>Agriculture, value added (constant LCU)</t>
  </si>
  <si>
    <t>Agriculture, value added (% of GDP)</t>
  </si>
  <si>
    <t>Industry, value added per worker (constant 2010 US$)</t>
  </si>
  <si>
    <t>Gas, electricity and water, value added (current US$)</t>
  </si>
  <si>
    <t>Gas, electricity and water, value added (current LCU)</t>
  </si>
  <si>
    <t>Gas, electricity and water, value added (constant LCU)</t>
  </si>
  <si>
    <t>Industry, value added (current US$)</t>
  </si>
  <si>
    <t>Industry, value added (current LCU)</t>
  </si>
  <si>
    <t>Industry, value added (annual % growth)</t>
  </si>
  <si>
    <t>Industry, value added (constant LCU)</t>
  </si>
  <si>
    <t>Industry, value added (% of GDP)</t>
  </si>
  <si>
    <t>Medium and high-tech industry (% manufacturing value added)</t>
  </si>
  <si>
    <t>Public administration and defense, value added (current US$)</t>
  </si>
  <si>
    <t>Public administration and defense, value added (constant LCU)</t>
  </si>
  <si>
    <t>Banking, value added (current US$)</t>
  </si>
  <si>
    <t>Banking, value added (current LCU)</t>
  </si>
  <si>
    <t>Banking, value added (constant LCU)</t>
  </si>
  <si>
    <t>Transport, storage and communication, value added (current US$)</t>
  </si>
  <si>
    <t>Transport, storage and communication, value added (current LCU)</t>
  </si>
  <si>
    <t>Transport, storage and communication, value added (constant LCU)</t>
  </si>
  <si>
    <t>Gross value added at factor cost (current US$)</t>
  </si>
  <si>
    <t>Gross value added at factor cost (current LCU)</t>
  </si>
  <si>
    <t>Gross value added at factor cost (constant LCU)</t>
  </si>
  <si>
    <t>Net income from abroad (current US$)</t>
  </si>
  <si>
    <t>Net income from abroad (current LCU)</t>
  </si>
  <si>
    <t>Net income from abroad (constant LCU)</t>
  </si>
  <si>
    <t>Net taxes on products (current US$)</t>
  </si>
  <si>
    <t>Net taxes on products (current LCU)</t>
  </si>
  <si>
    <t>Net taxes on products (constant LCU)</t>
  </si>
  <si>
    <t>Net current transfers from abroad (current US$)</t>
  </si>
  <si>
    <t>Net current transfers from abroad (current LCU)</t>
  </si>
  <si>
    <t>Net current transfers from abroad (constant LCU)</t>
  </si>
  <si>
    <t>29 June, 2018: On June 29 data for 2017 for population and national accounts, including GDP and GNI-related indicators, have been released for countries and aggregates. The methodology for presenting value added for the services sector has been revised, and financial intermediary services indirectly measured (FISIM) are presented separately. Historically, FISIM was used in the calculation of the “Services, etc” indicator. Starting with July 2018 update of the WDI, FISIM is presented as a separate series, where available. In addition, the “Final consumption expenditure, etc” and “Household consumption expenditure, etc” data included any existing statistical discrepancy between GDP according to production methodology and GDP according to expenditure methodology. Starting with this update, these two series will no longer be published. Instead, indicators for final consumption expenditure and household consumption expenditure are now available. Users can find the statistical discrepancy listed as a separate indicator. The methodology for calculating value added shares has also been updated.  
Other data that have been updated include FDI, tariffs, monetary and prices indicators, balance of payments, trade, health, military expenditure, air traffic, CPIA ratings, and fisheries. Purchasing Power Parities (PPP) for OECD and Eurostat countries show the latest release. The country classification hierarchies and group aggregate data reflect the new fiscal year 2019 income classifications. Historical data have been revised as necessary.</t>
  </si>
  <si>
    <t>26 July, 2018: A minor update was made to the World Development Indicators to reflect corrections in the areas of Environment, National Accounts, and States and Market. Additionally, data on financial risk protection for surgical care have been updated with trends.</t>
  </si>
  <si>
    <t>SH.PRV.SMOK</t>
  </si>
  <si>
    <t>Smoking prevalence, total, ages 15+</t>
  </si>
  <si>
    <t>Prevalence of smoking is the percentage of men and women ages 15 and over who currently smoke any tobacco product on a daily or non-daily basis. It excludes smokeless tobacco use. The rates are age-standardized.</t>
  </si>
  <si>
    <t>VC.IHR.PSRC.FE.P5</t>
  </si>
  <si>
    <t>Intentional homicides, female (per 100,000 female)</t>
  </si>
  <si>
    <t>VC.IHR.PSRC.MA.P5</t>
  </si>
  <si>
    <t>Intentional homicides, male (per 100,000 male)</t>
  </si>
  <si>
    <t>MS.MIL.XPND.CD</t>
  </si>
  <si>
    <t>Military expenditure (current USD)</t>
  </si>
  <si>
    <t>SH.STA.AIRP.P5</t>
  </si>
  <si>
    <t>Mortality rate attributed to household and ambient air pollution (per 100,000 population)</t>
  </si>
  <si>
    <t>Mortality rate attributed to household and ambient air pollution, age-standardized (per 100,000 population)</t>
  </si>
  <si>
    <t>28 August, 2018: A database update was conducted to reflect new estimates and revisions for selected indicators including data on terrestrial and marine protected areas, as well as GNI and value added series.</t>
  </si>
  <si>
    <t>Public Sector: Defense &amp; arms trade</t>
  </si>
  <si>
    <t>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t>
  </si>
  <si>
    <t>SH.STA.WASH.P5</t>
  </si>
  <si>
    <t>Mortality rate attributed to unsafe water, unsafe sanitation and lack of hygiene (per 100,000 population)</t>
  </si>
  <si>
    <t>Mortality rate attributed to unintentional poisonings is the number of deaths from unintentional poisonings in a year per 100,000 population.  Unintentional poisoning can be caused by household chemicals, pesticides, kerosene, carbon monoxide and medicines, or can be the result of environmental contamination or occupational chemical exposure.</t>
  </si>
  <si>
    <t>SH.STA.POIS.P5</t>
  </si>
  <si>
    <t>Mortality rate attributed to unintentional poisoning (per 100,000 population)</t>
  </si>
  <si>
    <t>SH.STA.POIS.P5.MA</t>
  </si>
  <si>
    <t>Mortality rate attributed to unintentional poisoning, male (per 100,000 male population)</t>
  </si>
  <si>
    <t>SH.STA.POIS.P5.FE</t>
  </si>
  <si>
    <t>Mortality rate attributed to unintentional poisoning, female (per 100,000 female population)</t>
  </si>
  <si>
    <t>Intentional homicides, female are estimates of unlawful female homicides purposely inflicted as a result of domestic disputes, interpersonal violence, violent conflicts over land resources, intergang violence over turf or control, and predatory violence and killing by armed groups. Intentional homicide does not include all intentional killing; the difference is usually in the organization of the killing. Individuals or small groups usually commit homicide, whereas killing in armed conflict is usually committed by fairly cohesive groups of up to several hundred members and is thus usually excluded.</t>
  </si>
  <si>
    <t>Intentional homicides, male are estimates of unlawful male homicides purposely inflicted as a result of domestic disputes, interpersonal violence, violent conflicts over land resources, intergang violence over turf or control, and predatory violence and killing by armed groups. Intentional homicide does not include all intentional killing; the difference is usually in the organization of the killing. Individuals or small groups usually commit homicide, whereas killing in armed conflict is usually committed by fairly cohesive groups of up to several hundred members and is thus usually excluded.</t>
  </si>
  <si>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</si>
  <si>
    <t>Military expenditures data from SIPRI are derived from the NATO definition, which includes all current and capital expenditures on the armed forces.</t>
  </si>
  <si>
    <t>19 September, 2018: The quarterly update of the World Development Indicators has been released. This version features new poverty estimates and new child mortality data, as well as updates for consumer price index, financial indicators, balance of payments, demography, HIV, labor force participation and unemployment, mobile and internet, and electricity production series. New indicators are available for homicide rate by sex, mortality due to environmental pollution, and military expenditure.</t>
  </si>
  <si>
    <t>HD.HCI.OVRL</t>
  </si>
  <si>
    <t>Human capital index (HCI) (scale 0-1)</t>
  </si>
  <si>
    <t xml:space="preserve">The HCI calculates the contributions of health and education to worker productivity. The final index score ranges from zero to one, and measures the productivity as a future worker of a child born today relative to the benchmark of full health and complete education. </t>
  </si>
  <si>
    <t>World Bank staff calculations based on the methodology described in Kraay (2018).  http://documents.worldbank.org/curated/en/300071537907028892/Methodology-for-a-World-Bank-Human-Capital-Index. Human Capital Index Database, The World Bank.</t>
  </si>
  <si>
    <t>HD.HCI.OVRL.LB</t>
  </si>
  <si>
    <t>Human capital index (HCI), lower bound (scale 0-1)</t>
  </si>
  <si>
    <t>HD.HCI.OVRL.UB</t>
  </si>
  <si>
    <t>Human capital index (HCI), upper bound (scale 0-1)</t>
  </si>
  <si>
    <t xml:space="preserve">The HCI upper bound reflects uncertainty in the measurement of  the components and the overall index. It is obtained by recalculating the HCI using estimates of the upper bounds of each of the components of the HCI. The range between the upper and lower bound is the uncertainty interval. While the uncertainty intervals constructed here do not have a rigorous statistical interpretation, a rule of thumb is that if two countries overlap substantially, the differences between their HCI values are not likely to be practically meaningful. </t>
  </si>
  <si>
    <t>HD.HCI.OVRL.FE</t>
  </si>
  <si>
    <t>Human capital index (HCI), female (scale 0-1)</t>
  </si>
  <si>
    <t>HD.HCI.OVRL.LB.FE</t>
  </si>
  <si>
    <t>Human capital index (HCI), female, lower bound (scale 0-1)</t>
  </si>
  <si>
    <t>HD.HCI.OVRL.UB.FE</t>
  </si>
  <si>
    <t>Human capital index (HCI), female, upper bound (scale 0-1)</t>
  </si>
  <si>
    <t>HD.HCI.OVRL.MA</t>
  </si>
  <si>
    <t>Human capital index (HCI), male (scale 0-1)</t>
  </si>
  <si>
    <t>HD.HCI.OVRL.LB.MA</t>
  </si>
  <si>
    <t>Human capital index (HCI), male, lower bound (scale 0-1)</t>
  </si>
  <si>
    <t>HD.HCI.OVRL.UB.MA</t>
  </si>
  <si>
    <t>Human capital index (HCI), male, upper bound (scale 0-1)</t>
  </si>
  <si>
    <t xml:space="preserve">The HCI lower bound reflects uncertainty in the measurement of the components and the overall index. It is obtained by recalculating the HCI using estimates of the lower bounds of each of the components of the HCI. The range between the upper and lower bound is the uncertainty interval. While the uncertainty intervals constructed here do not have a rigorous statistical interpretation, a rule of thumb is that if two countries overlap substantially, the differences between their HCI values are not likely to be practically meaningful. </t>
  </si>
  <si>
    <t xml:space="preserve">19 October, 2018: A new update of the World Development Indicators has been released. This version features data for the human capital index (HCI) disaggregated by sex. The index measures the amount of human capital that a child born today can expect to attain by age 18, given the risks to poor health and poor education that prevail in the country where the child lives. It is designed to highlight how improvements in current health and education outcomes shape the productivity of the next generation of workers, assuming that children born today experience over the next 18 years the educational opportunities and health risks that children in this age range currently face. Please visit the Human Capital Project website for further information. 
Other data updates include refugee population, prevalence of undernourishment, personal remittances, portfolio equity, and foreign direct investment series. Revisions and corrections of selected national accounts data and international finance statistics indicators have also been included.
</t>
  </si>
  <si>
    <t>14 November, 2018: New external debt data from the International Debt Statistics database was included in the WDI, including data on external debt stocks and flows, key debt ratios, as well as updates on other financial flows indicators such as foreign direct investment and portfolio equity.</t>
  </si>
  <si>
    <t>Military expenditure (% of general government expenditure)</t>
  </si>
  <si>
    <t>MS.MIL.XPND.ZS</t>
  </si>
  <si>
    <t>Military expenditure (% of central government expenditure)</t>
  </si>
  <si>
    <t>People with basic handwashing facilities including soap and water (% of population)</t>
  </si>
  <si>
    <t>% of males ages 15-49 having comprehensive correct knowledge about HIV (2 prevent ways and reject 3 misconceptions)</t>
  </si>
  <si>
    <t>SH.HIV.KNOW.MA.ZS</t>
  </si>
  <si>
    <t>Comprehensive correct knowledge of HIV/AIDS, ages 15-49, male (2 prevent ways and reject 3 misconceptions)</t>
  </si>
  <si>
    <t>SH.HIV.KNOW.FE.ZS</t>
  </si>
  <si>
    <t>% of females ages 15-49 having comprehensive correct knowledge about HIV (2 prevent ways and reject 3 misconceptions)</t>
  </si>
  <si>
    <t>Comprehensive correct knowledge of HIV/AIDS, ages 15-49, female (2 prevent ways and reject 3 misconceptions)</t>
  </si>
  <si>
    <t>SH.STA.AIRP.FE.P5</t>
  </si>
  <si>
    <t>Mortality rate attributed to household and ambient air pollution, age-standardized, female (per 100,000 female population)</t>
  </si>
  <si>
    <t>SH.STA.AIRP.MA.P5</t>
  </si>
  <si>
    <t>Mortality rate attributed to household and ambient air pollution, age-standardized, male (per 100,000 male population)</t>
  </si>
  <si>
    <t>SH.DYN.NCOM.FE.ZS</t>
  </si>
  <si>
    <t>Mortality from CVD, cancer, diabetes or CRD between exact ages 30 and 70, female (%)</t>
  </si>
  <si>
    <t>SH.DYN.NCOM.MA.ZS</t>
  </si>
  <si>
    <t>Mortality from CVD, cancer, diabetes or CRD between exact ages 30 and 70, male (%)</t>
  </si>
  <si>
    <t>SH.STA.SUIC.FE.P5</t>
  </si>
  <si>
    <t>Suicide mortality rate, female (per 100,000 female population)</t>
  </si>
  <si>
    <t>SH.STA.SUIC.MA.P5</t>
  </si>
  <si>
    <t>Suicide mortality rate, male (per 100,000 male population)</t>
  </si>
  <si>
    <t>SH.ALC.PCAP.FE.LI</t>
  </si>
  <si>
    <t>SH.ALC.PCAP.MA.LI</t>
  </si>
  <si>
    <t>Suicide mortality rate is the number of suicide deaths in a year per 100,000 population. Crude suicide rate (not age-adjusted).</t>
  </si>
  <si>
    <t>Total alcohol per capita consumption is defined as the total (sum of recorded and unrecorded alcohol) amount of alcohol consumed per person (15 years of age or older) over a calendar year, in litres of pure alcohol, adjusted for tourist consumption.</t>
  </si>
  <si>
    <t>Total alcohol consumption per capita, female (liters of pure alcohol, projected estimates, female 15+ years of age)</t>
  </si>
  <si>
    <t>Total alcohol consumption per capita, male (liters of pure alcohol, projected estimates, male 15+ years of age)</t>
  </si>
  <si>
    <t>All staff compensation, primary (% of total expenditure in primary public institutions)</t>
  </si>
  <si>
    <t>All staff compensation, secondary (% of total expenditure in upper secondary public institutions)</t>
  </si>
  <si>
    <t>All staff compensation, tertiary (% of total expenditure in tertiary public institutions)</t>
  </si>
  <si>
    <t>All staff compensation, total (% of total expenditure in public institutions)</t>
  </si>
  <si>
    <t>IC.EXP.COST.CD</t>
  </si>
  <si>
    <t>Cost to export (US$ per container)</t>
  </si>
  <si>
    <t>IC.EXP.DOCS</t>
  </si>
  <si>
    <t>Documents to export (number)</t>
  </si>
  <si>
    <t>IC.IMP.COST.CD</t>
  </si>
  <si>
    <t>Cost to import (US$ per container)</t>
  </si>
  <si>
    <t>IC.IMP.DOCS</t>
  </si>
  <si>
    <t>Documents to import (number)</t>
  </si>
  <si>
    <t>Add</t>
  </si>
  <si>
    <t>Del</t>
  </si>
  <si>
    <t>Cod</t>
  </si>
  <si>
    <t>Des</t>
  </si>
  <si>
    <t>Def</t>
  </si>
  <si>
    <t>Sou</t>
  </si>
  <si>
    <t>Top</t>
  </si>
  <si>
    <t>Cat</t>
  </si>
  <si>
    <t>DT.NFL.UNWT.CD</t>
  </si>
  <si>
    <t>Net official flows from UN agencies, UNWTO (current US$)</t>
  </si>
  <si>
    <t>UN net multilateral flows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reorganisation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(UNPF), United Nations Refugee Agency (UNHCR), Joint United Nations Programme on HIV/AIDS (UNAIDS), United Nations Regular Programme for Technical Assistance (UNTA), and United Nations Peacebuilding Fund (UNPBF). Data are in current U.S. dollars. Development Assistance Committee of the Organisation for Economic Co-operation and Development, Geographical Distribution of Financial Flows to Aid Recipients, Development Cooperation Report, and International Development Statistics database. Data are available online at: www.oecd.org/dac/stats/idsonline.</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</si>
  <si>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Data are in current U.S. dollars.</t>
  </si>
  <si>
    <t>TX.VAL.MRCH.HI.CD</t>
  </si>
  <si>
    <t>TX.VAL.MRCH.OR.CD</t>
  </si>
  <si>
    <t>TX.VAL.MRCH.R1.CD</t>
  </si>
  <si>
    <t>TX.VAL.MRCH.R2.CD</t>
  </si>
  <si>
    <t>TX.VAL.MRCH.R3.CD</t>
  </si>
  <si>
    <t>TX.VAL.MRCH.R4.CD</t>
  </si>
  <si>
    <t>TX.VAL.MRCH.R5.CD</t>
  </si>
  <si>
    <t>TX.VAL.MRCH.R6.CD</t>
  </si>
  <si>
    <t>TX.VAL.MRCH.WR.CD</t>
  </si>
  <si>
    <t>Merchandise exports to high-income economies (current US$)</t>
  </si>
  <si>
    <t>Merchandise exports to low- and middle-income economies outside region (current US$)</t>
  </si>
  <si>
    <t>Merchandise exports to low- and middle-income economies in East Asia &amp; Pacific (current US$)</t>
  </si>
  <si>
    <t>Merchandise exports to low- and middle-income economies in Europe &amp; Central Asia (current US$)</t>
  </si>
  <si>
    <t>Merchandise exports to low- and middle-income economies in Latin America &amp; the Caribbean (current US$)</t>
  </si>
  <si>
    <t>Merchandise exports to low- and middle-income economies in Middle East &amp; North Africa (current US$)</t>
  </si>
  <si>
    <t>Merchandise exports to low- and middle-income economies in South Asia (current US$)</t>
  </si>
  <si>
    <t>Merchandise exports to low- and middle-income economies in Sub-Saharan Africa (current US$)</t>
  </si>
  <si>
    <t>Merchandise exports to low- and middle-income economies within region (current US$)</t>
  </si>
  <si>
    <t>Energy production refers to forms of primary energy--petroleum (crude oil, natural gas liquids, and oil from nonconventional sources), natural gas, solid fuels (coal, lignite, and other derived fuels), and combustible renewables and waste--and primary electricity, all converted into oil equivalents.</t>
  </si>
  <si>
    <t>Energy use refers to use of primary energy before transformation to other end-use fuels, which is equal to indigenous production plus imports and stock changes, minus exports and fuels supplied to ships and aircraft engaged in international transport.</t>
  </si>
  <si>
    <t>Merchandise exports to low- and middle-income economies within region are the sum of merchandise exports from the reporting economy to other low- and middle-income economies in the same World Bank region. Data are in current U.S. dollars.</t>
  </si>
  <si>
    <t>Merchandise exports to low- and middle-income economies in Sub-Saharan Africa are the sum of merchandise exports from the reporting economy to low- and middle-income economies in the Sub-Saharan Africa region according to World Bank classification of economies. Data are in current U.S. dollars.</t>
  </si>
  <si>
    <t>Merchandise exports to low- and middle-income economies in South Asia are the sum of merchandise exports from the reporting economy to low- and middle-income economies in the South Asia region according to World Bank classification of economies. Data are in current U.S. dollars.</t>
  </si>
  <si>
    <t>Merchandise exports to low- and middle-income economies in Middle East and North Africa are the sum of merchandise exports from the reporting economy to low- and middle-income economies in the Middle East and North Africa region according to World Bank classification of economies. Data are in current U.S. dollars.</t>
  </si>
  <si>
    <t>Merchandise exports to low- and middle-income economies in Latin America and the Caribbean are the sum of merchandise exports from the reporting economy to low- and middle-income economies in the Latin America and the Caribbean region according to World Bank classification of economies. Data are in current U.S. dollars.</t>
  </si>
  <si>
    <t>Merchandise exports to low- and middle-income economies in Europe and Central Asia are the sum of merchandise exports from the reporting economy to low- and middle-income economies in the Europe and Central Asia region according to World Bank classification of economies. Data are in current U.S. dollars.</t>
  </si>
  <si>
    <t>Merchandise exports to low- and middle-income economies in East Asia and Pacific are the sum of merchandise exports from the reporting economy to low- and middle-income economies in the East Asia and Pacific region according to World Bank classification of economies. Data are in current U.S. dollars.</t>
  </si>
  <si>
    <t>Merchandise exports to low- and middle-income economies outside region are the sum of merchandise exports from the reporting economy to other low- and middle-income economies in other World Bank regions according to the World Bank classification of economies. Data are in current U.S. dollars.</t>
  </si>
  <si>
    <t>Merchandise exports to high-income economies are the sum of merchandise exports from the reporting economy to high-income economies according to the World Bank classification of economies. Data are in current U.S. dollars.</t>
  </si>
  <si>
    <t>21 March, 2019: The World Development Indicators and the Poverty and Equity databases have been updated to reflect the March 2019 update of the poverty data. International poverty numbers have been revised, with 50 new surveys and new ancillary data, as well as new aggregates for the period 1981 to 2015. A revised set of shared prosperity spells are also included. Poverty statistics at national poverty lines have also been revised.</t>
  </si>
  <si>
    <t>Total tax and contribution rate (% of profit)</t>
  </si>
  <si>
    <t>GF.XPD.BUDG.ZS</t>
  </si>
  <si>
    <t>Primary government expenditures as a proportion of original approved budget (%)</t>
  </si>
  <si>
    <t>Primary government expenditures as a proportion of original approved budget measures the extent to which aggregate budget expenditure outturn reflects the amount originally approved, as defined in government budget documentation and fiscal reports. The coverage is budgetary central government (BCG) and the time period covered is the last three completed fiscal years.</t>
  </si>
  <si>
    <t>Public Expenditure and Financial Accountability (PEFA). Ministry of Finance (MoF).</t>
  </si>
  <si>
    <t>Public Sector: Government finance</t>
  </si>
  <si>
    <t>April 24, 2019: The quarterly update of the World Development Indicators was released. It includes updates for national accounts, balance of payments, labor market, and health expenditure data. New estimates are also available for natural resources rents, PM2.5 pollution, law and regulation towards gender equality, mobile and internet, armed forces personnel, and education series. New indicators include data on government expenditures as a proportion of original approved budget.</t>
  </si>
  <si>
    <t>24 January, 2019: The quarterly update of the World Development Indicators was released. This version presents the most recent measures of trade compliance and business regulations from Doing Business, updates of national accounts data for selected economies, as well as balance of payments, official development assistance, and tariff data, incidence of tuberculosis and malaria, education attainment, labor force participation and unemployment (national estimates), threatened species, and fertilizer consumption. New indicators are available for mortality rate by cause and sex, and alcohol consumption by 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</si>
</sst>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2" formatCode="0.0"/>
    <numFmt numFmtId="174" formatCode="[$-409]d\-mmm\-yy;@"/>
  </numFmts>
  <fonts count="14" x14ac:knownFonts="1">
    <font>
      <sz val="11"/>
      <color theme="1"/>
      <name val="Calibri"/>
      <family val="2"/>
      <scheme val="minor"/>
    </font>
    <font>
      <sz val="11"/>
      <color indexed="10"/>
      <name val="Calibri"/>
      <family val="2"/>
    </font>
    <font>
      <b/>
      <sz val="10"/>
      <name val="Arial"/>
      <family val="2"/>
    </font>
    <font>
      <sz val="10"/>
      <name val="Arial"/>
      <family val="2"/>
    </font>
    <font>
      <i/>
      <sz val="10"/>
      <name val="Arial"/>
      <family val="2"/>
    </font>
    <font>
      <sz val="11"/>
      <name val="Calibri"/>
      <family val="2"/>
    </font>
    <font>
      <b/>
      <sz val="10"/>
      <color theme="1"/>
      <name val="Verdana"/>
      <family val="2"/>
    </font>
    <font>
      <sz val="10"/>
      <color theme="1"/>
      <name val="Verdana"/>
      <family val="2"/>
    </font>
    <font>
      <b/>
      <sz val="11"/>
      <color theme="1"/>
      <name val="Calibri"/>
      <family val="2"/>
      <scheme val="minor"/>
    </font>
    <font>
      <i/>
      <u/>
      <sz val="11"/>
      <color theme="1"/>
      <name val="Calibri"/>
      <family val="2"/>
      <scheme val="minor"/>
    </font>
    <font>
      <sz val="11"/>
      <name val="Calibri"/>
      <family val="2"/>
      <scheme val="minor"/>
    </font>
    <font>
      <b/>
      <sz val="11"/>
      <name val="Calibri"/>
      <family val="2"/>
      <scheme val="minor"/>
    </font>
    <font>
      <i/>
      <sz val="11"/>
      <color theme="1"/>
      <name val="Calibri"/>
      <family val="2"/>
      <scheme val="minor"/>
    </font>
    <font>
      <sz val="11"/>
      <color theme="1"/>
      <name val="Calibri"/>
      <family val="2"/>
    </font>
  </fonts>
  <fills count="17">
    <fill>
      <patternFill patternType="none"/>
    </fill>
    <fill>
      <patternFill patternType="gray125"/>
    </fill>
    <fill>
      <patternFill patternType="solid">
        <fgColor rgb="FFCCCCCC"/>
        <bgColor indexed="64"/>
      </patternFill>
    </fill>
    <fill>
      <patternFill patternType="solid">
        <fgColor rgb="FFFFFF00"/>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6" fillId="2" borderId="1">
      <alignment horizontal="left" vertical="top" indent="1"/>
    </xf>
    <xf numFmtId="0" fontId="7" fillId="0" borderId="1">
      <alignment horizontal="left" vertical="top" indent="1"/>
    </xf>
    <xf numFmtId="0" fontId="3" fillId="0" borderId="0"/>
  </cellStyleXfs>
  <cellXfs count="125">
    <xf numFmtId="0" fontId="0" fillId="0" borderId="0" xfId="0"/>
    <xf numFmtId="0" fontId="8" fillId="0" borderId="0" xfId="0" applyFont="1"/>
    <xf numFmtId="0" fontId="0" fillId="0" borderId="0" xfId="0" applyAlignment="1">
      <alignment wrapText="1"/>
    </xf>
    <xf numFmtId="0" fontId="9" fillId="0" borderId="0" xfId="0" applyFont="1"/>
    <xf numFmtId="0" fontId="2" fillId="3" borderId="2" xfId="0" quotePrefix="1" applyFont="1" applyFill="1" applyBorder="1"/>
    <xf numFmtId="0" fontId="8" fillId="3" borderId="2" xfId="0" applyFont="1" applyFill="1" applyBorder="1"/>
    <xf numFmtId="0" fontId="2" fillId="3" borderId="2" xfId="0" applyFont="1" applyFill="1" applyBorder="1"/>
    <xf numFmtId="0" fontId="0" fillId="0" borderId="0" xfId="0" applyFill="1"/>
    <xf numFmtId="0" fontId="8" fillId="0" borderId="0" xfId="0" applyFont="1" applyFill="1" applyBorder="1"/>
    <xf numFmtId="0" fontId="0" fillId="0" borderId="0" xfId="0" applyNumberFormat="1" applyFill="1"/>
    <xf numFmtId="0" fontId="10" fillId="0" borderId="0" xfId="0" applyFont="1"/>
    <xf numFmtId="0" fontId="10" fillId="0" borderId="0" xfId="0" applyFont="1" applyFill="1"/>
    <xf numFmtId="172" fontId="0" fillId="0" borderId="0" xfId="0" applyNumberFormat="1" applyFill="1"/>
    <xf numFmtId="0" fontId="4" fillId="0" borderId="0" xfId="0" applyFont="1" applyFill="1"/>
    <xf numFmtId="0" fontId="0" fillId="0" borderId="0" xfId="0" applyNumberFormat="1"/>
    <xf numFmtId="0" fontId="11" fillId="3" borderId="2" xfId="0" applyFont="1" applyFill="1" applyBorder="1"/>
    <xf numFmtId="172" fontId="10" fillId="0" borderId="0" xfId="0" applyNumberFormat="1" applyFont="1"/>
    <xf numFmtId="0" fontId="11" fillId="0" borderId="0" xfId="0" applyFont="1" applyFill="1" applyBorder="1"/>
    <xf numFmtId="172" fontId="10" fillId="0" borderId="0" xfId="0" applyNumberFormat="1" applyFont="1" applyFill="1"/>
    <xf numFmtId="0" fontId="3" fillId="0" borderId="0" xfId="0" applyFont="1"/>
    <xf numFmtId="0" fontId="0" fillId="4" borderId="0" xfId="0" applyFill="1"/>
    <xf numFmtId="0" fontId="0" fillId="5" borderId="0" xfId="0" applyFill="1"/>
    <xf numFmtId="0" fontId="0" fillId="6" borderId="0" xfId="0" applyFill="1"/>
    <xf numFmtId="0" fontId="0" fillId="6" borderId="0" xfId="0" applyFont="1" applyFill="1" applyBorder="1"/>
    <xf numFmtId="0" fontId="0" fillId="6" borderId="0" xfId="0" applyFill="1" applyAlignment="1">
      <alignment vertical="top"/>
    </xf>
    <xf numFmtId="0" fontId="0" fillId="7" borderId="0" xfId="0" applyFill="1"/>
    <xf numFmtId="0" fontId="0" fillId="8" borderId="0" xfId="0" applyFill="1"/>
    <xf numFmtId="0" fontId="0" fillId="8" borderId="0" xfId="0" applyFill="1" applyAlignment="1">
      <alignment vertical="top"/>
    </xf>
    <xf numFmtId="0" fontId="0" fillId="0" borderId="0" xfId="0" applyFont="1"/>
    <xf numFmtId="0" fontId="0" fillId="0" borderId="0" xfId="0" applyAlignment="1">
      <alignment vertical="top"/>
    </xf>
    <xf numFmtId="0" fontId="0" fillId="5" borderId="0" xfId="0" applyFill="1" applyAlignment="1">
      <alignment vertical="top"/>
    </xf>
    <xf numFmtId="0" fontId="10" fillId="5" borderId="0" xfId="0" applyFont="1" applyFill="1"/>
    <xf numFmtId="0" fontId="0" fillId="4" borderId="0" xfId="0" applyFill="1" applyAlignment="1">
      <alignment vertical="top"/>
    </xf>
    <xf numFmtId="0" fontId="0" fillId="9" borderId="0" xfId="0" applyFill="1"/>
    <xf numFmtId="0" fontId="0" fillId="9" borderId="0" xfId="0" applyFill="1" applyAlignment="1">
      <alignment vertical="top"/>
    </xf>
    <xf numFmtId="0" fontId="0" fillId="10" borderId="0" xfId="0" applyFill="1"/>
    <xf numFmtId="0" fontId="0" fillId="10" borderId="0" xfId="0" applyFill="1" applyAlignment="1">
      <alignment vertical="top"/>
    </xf>
    <xf numFmtId="0" fontId="0" fillId="0" borderId="0" xfId="0" applyFont="1" applyFill="1" applyBorder="1"/>
    <xf numFmtId="0" fontId="0" fillId="0" borderId="0" xfId="0" applyFont="1" applyFill="1"/>
    <xf numFmtId="0" fontId="10" fillId="9" borderId="0" xfId="0" applyFont="1" applyFill="1" applyBorder="1"/>
    <xf numFmtId="0" fontId="0" fillId="9" borderId="0" xfId="0" applyFont="1" applyFill="1" applyBorder="1"/>
    <xf numFmtId="0" fontId="12" fillId="0" borderId="0" xfId="0" applyFont="1" applyFill="1" applyBorder="1"/>
    <xf numFmtId="0" fontId="10" fillId="0" borderId="0" xfId="0" applyFont="1" applyFill="1" applyBorder="1"/>
    <xf numFmtId="0" fontId="13" fillId="0" borderId="0" xfId="0" applyFont="1" applyFill="1" applyAlignment="1">
      <alignment vertical="center"/>
    </xf>
    <xf numFmtId="0" fontId="3" fillId="0" borderId="0" xfId="0" applyFont="1" applyFill="1" applyBorder="1"/>
    <xf numFmtId="0" fontId="0" fillId="0" borderId="0" xfId="0" applyAlignment="1">
      <alignment vertical="center"/>
    </xf>
    <xf numFmtId="0" fontId="12" fillId="9" borderId="0" xfId="0" applyFont="1" applyFill="1" applyBorder="1"/>
    <xf numFmtId="0" fontId="0" fillId="0" borderId="0" xfId="0" applyFont="1" applyAlignment="1">
      <alignment vertical="top"/>
    </xf>
    <xf numFmtId="0" fontId="0" fillId="11" borderId="0" xfId="0" applyFill="1"/>
    <xf numFmtId="0" fontId="0" fillId="11" borderId="0" xfId="0" applyFill="1" applyAlignment="1">
      <alignment vertical="top"/>
    </xf>
    <xf numFmtId="0" fontId="12" fillId="11" borderId="0" xfId="0" applyFont="1" applyFill="1"/>
    <xf numFmtId="0" fontId="0" fillId="11" borderId="0" xfId="0" applyFont="1" applyFill="1" applyBorder="1"/>
    <xf numFmtId="0" fontId="3" fillId="11" borderId="0" xfId="0" applyFont="1" applyFill="1" applyBorder="1"/>
    <xf numFmtId="0" fontId="0" fillId="5" borderId="0" xfId="0" applyFont="1" applyFill="1" applyBorder="1"/>
    <xf numFmtId="0" fontId="0" fillId="12" borderId="0" xfId="0" applyFill="1" applyAlignment="1">
      <alignment vertical="top"/>
    </xf>
    <xf numFmtId="0" fontId="3" fillId="12" borderId="0" xfId="0" applyFont="1" applyFill="1" applyBorder="1"/>
    <xf numFmtId="0" fontId="0" fillId="12" borderId="0" xfId="0" applyFill="1"/>
    <xf numFmtId="0" fontId="0" fillId="12" borderId="0" xfId="0" applyFont="1" applyFill="1" applyBorder="1"/>
    <xf numFmtId="0" fontId="0" fillId="12" borderId="0" xfId="0" applyFill="1" applyAlignment="1"/>
    <xf numFmtId="0" fontId="0" fillId="0" borderId="0" xfId="0" applyFill="1" applyAlignment="1"/>
    <xf numFmtId="0" fontId="0" fillId="13" borderId="0" xfId="0" applyFill="1" applyAlignment="1">
      <alignment vertical="top"/>
    </xf>
    <xf numFmtId="0" fontId="0" fillId="13" borderId="0" xfId="0" applyFill="1"/>
    <xf numFmtId="0" fontId="0" fillId="14" borderId="0" xfId="0" applyFill="1" applyAlignment="1">
      <alignment vertical="top"/>
    </xf>
    <xf numFmtId="0" fontId="0" fillId="14" borderId="0" xfId="0" applyFill="1"/>
    <xf numFmtId="0" fontId="0" fillId="14" borderId="0" xfId="0" applyFill="1" applyAlignment="1"/>
    <xf numFmtId="0" fontId="0" fillId="0" borderId="0" xfId="0" applyFont="1" applyAlignment="1">
      <alignment vertical="center"/>
    </xf>
    <xf numFmtId="0" fontId="10" fillId="0" borderId="0" xfId="0" quotePrefix="1" applyFont="1" applyFill="1" applyBorder="1"/>
    <xf numFmtId="0" fontId="10" fillId="0" borderId="0" xfId="0" applyFont="1" applyAlignment="1">
      <alignment vertical="center"/>
    </xf>
    <xf numFmtId="0" fontId="8" fillId="0" borderId="0" xfId="0" applyFont="1" applyFill="1"/>
    <xf numFmtId="0" fontId="0" fillId="0" borderId="0" xfId="0" applyFill="1" applyAlignment="1">
      <alignment vertical="top"/>
    </xf>
    <xf numFmtId="0" fontId="0" fillId="15" borderId="0" xfId="0" applyFont="1" applyFill="1"/>
    <xf numFmtId="0" fontId="0" fillId="15" borderId="0" xfId="0" applyFont="1" applyFill="1" applyAlignment="1">
      <alignment vertical="center"/>
    </xf>
    <xf numFmtId="0" fontId="10" fillId="15" borderId="0" xfId="0" applyFont="1" applyFill="1" applyBorder="1"/>
    <xf numFmtId="0" fontId="0" fillId="15" borderId="0" xfId="0" applyFill="1"/>
    <xf numFmtId="0" fontId="0" fillId="15" borderId="0" xfId="0" applyFont="1" applyFill="1" applyBorder="1"/>
    <xf numFmtId="0" fontId="0" fillId="15" borderId="0" xfId="0" applyFill="1" applyAlignment="1">
      <alignment vertical="top"/>
    </xf>
    <xf numFmtId="0" fontId="0" fillId="0" borderId="0" xfId="0" applyFill="1" applyAlignment="1">
      <alignment wrapText="1"/>
    </xf>
    <xf numFmtId="0" fontId="0" fillId="9" borderId="0" xfId="0" applyFont="1" applyFill="1"/>
    <xf numFmtId="0" fontId="0" fillId="9" borderId="0" xfId="0" applyFont="1" applyFill="1" applyAlignment="1">
      <alignment vertical="center"/>
    </xf>
    <xf numFmtId="0" fontId="0" fillId="4" borderId="0" xfId="0" applyFont="1" applyFill="1"/>
    <xf numFmtId="0" fontId="0" fillId="4" borderId="0" xfId="0" applyFont="1" applyFill="1" applyAlignment="1">
      <alignment vertical="center"/>
    </xf>
    <xf numFmtId="0" fontId="10" fillId="4" borderId="0" xfId="0" applyFont="1" applyFill="1" applyBorder="1"/>
    <xf numFmtId="0" fontId="0" fillId="4" borderId="0" xfId="0" applyFill="1" applyAlignment="1">
      <alignment vertical="center" wrapText="1"/>
    </xf>
    <xf numFmtId="0" fontId="0" fillId="4" borderId="0" xfId="0" applyFill="1" applyAlignment="1">
      <alignment vertical="center"/>
    </xf>
    <xf numFmtId="0" fontId="0" fillId="0" borderId="0" xfId="0" applyFont="1" applyFill="1" applyAlignment="1"/>
    <xf numFmtId="0" fontId="0" fillId="4" borderId="0" xfId="0" applyFont="1" applyFill="1" applyBorder="1"/>
    <xf numFmtId="0" fontId="0" fillId="5" borderId="0" xfId="0" applyFont="1" applyFill="1"/>
    <xf numFmtId="0" fontId="0" fillId="5" borderId="0" xfId="0" applyFont="1" applyFill="1" applyAlignment="1">
      <alignment vertical="center"/>
    </xf>
    <xf numFmtId="0" fontId="10" fillId="5" borderId="0" xfId="0" applyFont="1" applyFill="1" applyBorder="1"/>
    <xf numFmtId="0" fontId="0" fillId="5" borderId="0" xfId="0" applyFill="1" applyAlignment="1">
      <alignment vertical="center"/>
    </xf>
    <xf numFmtId="0" fontId="0" fillId="16" borderId="0" xfId="0" applyFont="1" applyFill="1"/>
    <xf numFmtId="0" fontId="0" fillId="16" borderId="0" xfId="0" applyFont="1" applyFill="1" applyAlignment="1">
      <alignment vertical="center"/>
    </xf>
    <xf numFmtId="0" fontId="10" fillId="16" borderId="0" xfId="0" applyFont="1" applyFill="1" applyBorder="1"/>
    <xf numFmtId="0" fontId="0" fillId="16" borderId="0" xfId="0" applyFill="1"/>
    <xf numFmtId="0" fontId="10" fillId="16" borderId="0" xfId="0" applyFont="1" applyFill="1" applyAlignment="1">
      <alignment vertical="center"/>
    </xf>
    <xf numFmtId="0" fontId="0" fillId="0" borderId="0" xfId="0" applyFill="1" applyAlignment="1">
      <alignment vertical="center"/>
    </xf>
    <xf numFmtId="0" fontId="0" fillId="0" borderId="0" xfId="0" applyAlignment="1"/>
    <xf numFmtId="174" fontId="0" fillId="0" borderId="0" xfId="0" applyNumberFormat="1" applyFont="1" applyFill="1" applyAlignment="1">
      <alignment horizontal="left"/>
    </xf>
    <xf numFmtId="174" fontId="0" fillId="0" borderId="0" xfId="0" applyNumberFormat="1"/>
    <xf numFmtId="0" fontId="8" fillId="3" borderId="2" xfId="0" applyFont="1" applyFill="1" applyBorder="1" applyAlignment="1">
      <alignment horizontal="left"/>
    </xf>
    <xf numFmtId="174" fontId="0" fillId="0" borderId="0" xfId="0" applyNumberFormat="1" applyAlignment="1">
      <alignment horizontal="left"/>
    </xf>
    <xf numFmtId="0" fontId="0" fillId="0" borderId="0" xfId="0" applyAlignment="1">
      <alignment horizontal="left"/>
    </xf>
    <xf numFmtId="174" fontId="0" fillId="4" borderId="0" xfId="0" applyNumberFormat="1" applyFont="1" applyFill="1" applyAlignment="1">
      <alignment horizontal="left"/>
    </xf>
    <xf numFmtId="174" fontId="0" fillId="11" borderId="0" xfId="0" applyNumberFormat="1" applyFont="1" applyFill="1" applyAlignment="1">
      <alignment horizontal="left"/>
    </xf>
    <xf numFmtId="174" fontId="0" fillId="15" borderId="0" xfId="0" applyNumberFormat="1" applyFont="1" applyFill="1" applyAlignment="1">
      <alignment horizontal="left"/>
    </xf>
    <xf numFmtId="174" fontId="0" fillId="5" borderId="0" xfId="0" applyNumberFormat="1" applyFont="1" applyFill="1" applyAlignment="1">
      <alignment horizontal="left"/>
    </xf>
    <xf numFmtId="174" fontId="0" fillId="7" borderId="0" xfId="0" applyNumberFormat="1" applyFont="1" applyFill="1" applyAlignment="1">
      <alignment horizontal="left"/>
    </xf>
    <xf numFmtId="174" fontId="0" fillId="14" borderId="0" xfId="0" applyNumberFormat="1" applyFont="1" applyFill="1" applyAlignment="1">
      <alignment horizontal="left"/>
    </xf>
    <xf numFmtId="174" fontId="0" fillId="8" borderId="0" xfId="0" applyNumberFormat="1" applyFont="1" applyFill="1" applyAlignment="1">
      <alignment horizontal="left"/>
    </xf>
    <xf numFmtId="174" fontId="0" fillId="6" borderId="0" xfId="0" applyNumberFormat="1" applyFont="1" applyFill="1" applyAlignment="1">
      <alignment horizontal="left"/>
    </xf>
    <xf numFmtId="174" fontId="0" fillId="13" borderId="0" xfId="0" applyNumberFormat="1" applyFont="1" applyFill="1" applyAlignment="1">
      <alignment horizontal="left"/>
    </xf>
    <xf numFmtId="174" fontId="0" fillId="12" borderId="0" xfId="0" applyNumberFormat="1" applyFont="1" applyFill="1" applyAlignment="1">
      <alignment horizontal="left"/>
    </xf>
    <xf numFmtId="174" fontId="0" fillId="16" borderId="0" xfId="0" applyNumberFormat="1" applyFont="1" applyFill="1" applyAlignment="1">
      <alignment horizontal="left"/>
    </xf>
    <xf numFmtId="174" fontId="0" fillId="10" borderId="0" xfId="0" applyNumberFormat="1" applyFont="1" applyFill="1" applyAlignment="1">
      <alignment horizontal="left"/>
    </xf>
    <xf numFmtId="174" fontId="0" fillId="9" borderId="0" xfId="0" applyNumberFormat="1" applyFont="1" applyFill="1" applyAlignment="1">
      <alignment horizontal="left"/>
    </xf>
    <xf numFmtId="0" fontId="0" fillId="0" borderId="0" xfId="0" applyFill="1" applyAlignment="1">
      <alignment horizontal="left"/>
    </xf>
    <xf numFmtId="0" fontId="10" fillId="0" borderId="0" xfId="0" applyFont="1" applyAlignment="1">
      <alignment horizontal="left"/>
    </xf>
    <xf numFmtId="0" fontId="10" fillId="0" borderId="0" xfId="0" applyFont="1" applyFill="1" applyAlignment="1">
      <alignment horizontal="left"/>
    </xf>
    <xf numFmtId="0" fontId="10" fillId="4" borderId="0" xfId="0" applyFont="1" applyFill="1"/>
    <xf numFmtId="174" fontId="10" fillId="0" borderId="0" xfId="0" applyNumberFormat="1" applyFont="1" applyFill="1" applyAlignment="1">
      <alignment horizontal="left"/>
    </xf>
    <xf numFmtId="174" fontId="5" fillId="0" borderId="0" xfId="0" applyNumberFormat="1" applyFont="1" applyFill="1" applyBorder="1" applyAlignment="1">
      <alignment horizontal="left"/>
    </xf>
    <xf numFmtId="0" fontId="5" fillId="0" borderId="0" xfId="0" applyFont="1" applyFill="1" applyBorder="1" applyAlignment="1">
      <alignment vertical="top"/>
    </xf>
    <xf numFmtId="0" fontId="5" fillId="0" borderId="0" xfId="0" applyFont="1" applyFill="1" applyBorder="1" applyAlignment="1"/>
    <xf numFmtId="0" fontId="13" fillId="0" borderId="0" xfId="0" applyFont="1" applyFill="1" applyBorder="1"/>
    <xf numFmtId="0" fontId="0" fillId="6" borderId="0" xfId="0" applyFont="1" applyFill="1"/>
  </cellXfs>
  <cellStyles count="4">
    <cellStyle name="ClsColHeader" xfId="1" xr:uid="{56364073-DC70-4CAE-9C88-3EE9A1EACEDA}"/>
    <cellStyle name="ClsData" xfId="2" xr:uid="{67A59F38-2DE5-46AC-B607-8A0B4A5DB36F}"/>
    <cellStyle name="Normal" xfId="0" builtinId="0"/>
    <cellStyle name="Normal 2" xfId="3" xr:uid="{89AE43DB-3879-4953-A2CF-FA49934FE0DA}"/>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1244D-E3DA-4366-830C-B0BCC35E431B}">
  <dimension ref="A1:A259"/>
  <sheetViews>
    <sheetView workbookViewId="0">
      <selection activeCell="A9" sqref="A9"/>
    </sheetView>
  </sheetViews>
  <sheetFormatPr defaultRowHeight="14.4" x14ac:dyDescent="0.3"/>
  <cols>
    <col min="1" max="1" width="80" customWidth="1"/>
  </cols>
  <sheetData>
    <row r="1" spans="1:1" s="1" customFormat="1" x14ac:dyDescent="0.3">
      <c r="A1" s="1" t="s">
        <v>0</v>
      </c>
    </row>
    <row r="2" spans="1:1" x14ac:dyDescent="0.3">
      <c r="A2" t="s">
        <v>1</v>
      </c>
    </row>
    <row r="3" spans="1:1" x14ac:dyDescent="0.3">
      <c r="A3" s="7" t="str">
        <f>LEFT(A9, FIND(":",A9,1)-1)</f>
        <v>April 24, 2019</v>
      </c>
    </row>
    <row r="4" spans="1:1" x14ac:dyDescent="0.3">
      <c r="A4" s="7"/>
    </row>
    <row r="5" spans="1:1" ht="28.8" x14ac:dyDescent="0.3">
      <c r="A5" s="76" t="s">
        <v>2</v>
      </c>
    </row>
    <row r="6" spans="1:1" x14ac:dyDescent="0.3">
      <c r="A6" s="7"/>
    </row>
    <row r="7" spans="1:1" ht="23.25" customHeight="1" x14ac:dyDescent="0.3">
      <c r="A7" s="76" t="s">
        <v>3144</v>
      </c>
    </row>
    <row r="8" spans="1:1" ht="23.25" customHeight="1" x14ac:dyDescent="0.3">
      <c r="A8" s="76"/>
    </row>
    <row r="9" spans="1:1" ht="86.4" x14ac:dyDescent="0.3">
      <c r="A9" s="76" t="s">
        <v>4615</v>
      </c>
    </row>
    <row r="10" spans="1:1" ht="23.25" customHeight="1" x14ac:dyDescent="0.3">
      <c r="A10" s="76"/>
    </row>
    <row r="11" spans="1:1" ht="74.25" customHeight="1" x14ac:dyDescent="0.3">
      <c r="A11" s="76" t="s">
        <v>4608</v>
      </c>
    </row>
    <row r="12" spans="1:1" ht="23.25" customHeight="1" x14ac:dyDescent="0.3">
      <c r="A12" s="76"/>
    </row>
    <row r="13" spans="1:1" ht="100.8" x14ac:dyDescent="0.3">
      <c r="A13" s="76" t="s">
        <v>4616</v>
      </c>
    </row>
    <row r="14" spans="1:1" ht="23.25" customHeight="1" x14ac:dyDescent="0.3">
      <c r="A14" s="76"/>
    </row>
    <row r="15" spans="1:1" ht="57.6" x14ac:dyDescent="0.3">
      <c r="A15" s="76" t="s">
        <v>4526</v>
      </c>
    </row>
    <row r="16" spans="1:1" ht="23.25" customHeight="1" x14ac:dyDescent="0.3">
      <c r="A16" s="76"/>
    </row>
    <row r="17" spans="1:1" ht="225.75" customHeight="1" x14ac:dyDescent="0.3">
      <c r="A17" s="76" t="s">
        <v>4525</v>
      </c>
    </row>
    <row r="18" spans="1:1" ht="23.25" customHeight="1" x14ac:dyDescent="0.3">
      <c r="A18" s="76"/>
    </row>
    <row r="19" spans="1:1" ht="86.4" x14ac:dyDescent="0.3">
      <c r="A19" s="76" t="s">
        <v>4502</v>
      </c>
    </row>
    <row r="20" spans="1:1" ht="23.25" customHeight="1" x14ac:dyDescent="0.3">
      <c r="A20" s="76"/>
    </row>
    <row r="21" spans="1:1" ht="43.2" x14ac:dyDescent="0.3">
      <c r="A21" s="76" t="s">
        <v>4486</v>
      </c>
    </row>
    <row r="22" spans="1:1" ht="23.25" customHeight="1" x14ac:dyDescent="0.3">
      <c r="A22" s="76"/>
    </row>
    <row r="23" spans="1:1" ht="62.25" customHeight="1" x14ac:dyDescent="0.3">
      <c r="A23" s="76" t="s">
        <v>4473</v>
      </c>
    </row>
    <row r="24" spans="1:1" ht="23.25" customHeight="1" x14ac:dyDescent="0.3">
      <c r="A24" s="76"/>
    </row>
    <row r="25" spans="1:1" ht="284.25" customHeight="1" x14ac:dyDescent="0.3">
      <c r="A25" s="76" t="s">
        <v>4472</v>
      </c>
    </row>
    <row r="26" spans="1:1" ht="23.25" customHeight="1" x14ac:dyDescent="0.3">
      <c r="A26" s="76"/>
    </row>
    <row r="27" spans="1:1" ht="57.6" x14ac:dyDescent="0.3">
      <c r="A27" s="76" t="s">
        <v>4295</v>
      </c>
    </row>
    <row r="28" spans="1:1" ht="23.25" customHeight="1" x14ac:dyDescent="0.3">
      <c r="A28" s="76"/>
    </row>
    <row r="29" spans="1:1" ht="43.2" x14ac:dyDescent="0.3">
      <c r="A29" s="76" t="s">
        <v>4296</v>
      </c>
    </row>
    <row r="30" spans="1:1" ht="23.25" customHeight="1" x14ac:dyDescent="0.3">
      <c r="A30" s="76"/>
    </row>
    <row r="31" spans="1:1" ht="72" x14ac:dyDescent="0.3">
      <c r="A31" s="76" t="s">
        <v>4073</v>
      </c>
    </row>
    <row r="32" spans="1:1" ht="23.25" customHeight="1" x14ac:dyDescent="0.3">
      <c r="A32" s="76"/>
    </row>
    <row r="33" spans="1:1" ht="28.8" x14ac:dyDescent="0.3">
      <c r="A33" s="76" t="s">
        <v>4017</v>
      </c>
    </row>
    <row r="34" spans="1:1" ht="23.25" customHeight="1" x14ac:dyDescent="0.3">
      <c r="A34" s="76"/>
    </row>
    <row r="35" spans="1:1" ht="45.75" customHeight="1" x14ac:dyDescent="0.3">
      <c r="A35" s="76" t="s">
        <v>4015</v>
      </c>
    </row>
    <row r="36" spans="1:1" x14ac:dyDescent="0.3">
      <c r="A36" s="7"/>
    </row>
    <row r="37" spans="1:1" ht="57.6" x14ac:dyDescent="0.3">
      <c r="A37" s="76" t="s">
        <v>4014</v>
      </c>
    </row>
    <row r="38" spans="1:1" x14ac:dyDescent="0.3">
      <c r="A38" s="7"/>
    </row>
    <row r="39" spans="1:1" ht="72" x14ac:dyDescent="0.3">
      <c r="A39" s="76" t="s">
        <v>4006</v>
      </c>
    </row>
    <row r="40" spans="1:1" x14ac:dyDescent="0.3">
      <c r="A40" s="7"/>
    </row>
    <row r="41" spans="1:1" ht="79.5" customHeight="1" x14ac:dyDescent="0.3">
      <c r="A41" s="76" t="s">
        <v>3917</v>
      </c>
    </row>
    <row r="42" spans="1:1" x14ac:dyDescent="0.3">
      <c r="A42" s="7"/>
    </row>
    <row r="43" spans="1:1" ht="187.2" x14ac:dyDescent="0.3">
      <c r="A43" s="76" t="s">
        <v>3880</v>
      </c>
    </row>
    <row r="44" spans="1:1" x14ac:dyDescent="0.3">
      <c r="A44" s="7"/>
    </row>
    <row r="45" spans="1:1" ht="57.6" x14ac:dyDescent="0.3">
      <c r="A45" s="76" t="s">
        <v>3862</v>
      </c>
    </row>
    <row r="46" spans="1:1" x14ac:dyDescent="0.3">
      <c r="A46" s="7"/>
    </row>
    <row r="47" spans="1:1" ht="172.5" customHeight="1" x14ac:dyDescent="0.3">
      <c r="A47" s="76" t="s">
        <v>3834</v>
      </c>
    </row>
    <row r="49" spans="1:1" ht="53.25" customHeight="1" x14ac:dyDescent="0.3">
      <c r="A49" s="76" t="s">
        <v>3833</v>
      </c>
    </row>
    <row r="51" spans="1:1" ht="53.25" customHeight="1" x14ac:dyDescent="0.3">
      <c r="A51" s="76" t="s">
        <v>3745</v>
      </c>
    </row>
    <row r="53" spans="1:1" ht="81.75" customHeight="1" x14ac:dyDescent="0.3">
      <c r="A53" s="76" t="s">
        <v>3440</v>
      </c>
    </row>
    <row r="55" spans="1:1" ht="36" customHeight="1" x14ac:dyDescent="0.3">
      <c r="A55" s="76" t="s">
        <v>3439</v>
      </c>
    </row>
    <row r="57" spans="1:1" ht="52.5" customHeight="1" x14ac:dyDescent="0.3">
      <c r="A57" s="76" t="s">
        <v>3438</v>
      </c>
    </row>
    <row r="59" spans="1:1" ht="67.5" customHeight="1" x14ac:dyDescent="0.3">
      <c r="A59" s="76" t="s">
        <v>3437</v>
      </c>
    </row>
    <row r="61" spans="1:1" ht="111.75" customHeight="1" x14ac:dyDescent="0.3">
      <c r="A61" s="76" t="s">
        <v>3418</v>
      </c>
    </row>
    <row r="63" spans="1:1" ht="111.75" customHeight="1" x14ac:dyDescent="0.3">
      <c r="A63" s="76" t="s">
        <v>3348</v>
      </c>
    </row>
    <row r="65" spans="1:1" ht="112.5" customHeight="1" x14ac:dyDescent="0.3">
      <c r="A65" s="76" t="s">
        <v>3337</v>
      </c>
    </row>
    <row r="67" spans="1:1" ht="156.75" customHeight="1" x14ac:dyDescent="0.3">
      <c r="A67" s="76" t="s">
        <v>3329</v>
      </c>
    </row>
    <row r="69" spans="1:1" ht="97.5" customHeight="1" x14ac:dyDescent="0.3">
      <c r="A69" s="76" t="s">
        <v>3253</v>
      </c>
    </row>
    <row r="71" spans="1:1" ht="36.75" customHeight="1" x14ac:dyDescent="0.3">
      <c r="A71" s="76" t="s">
        <v>3251</v>
      </c>
    </row>
    <row r="73" spans="1:1" ht="80.25" customHeight="1" x14ac:dyDescent="0.3">
      <c r="A73" s="76" t="s">
        <v>3250</v>
      </c>
    </row>
    <row r="75" spans="1:1" ht="81.75" customHeight="1" x14ac:dyDescent="0.3">
      <c r="A75" s="76" t="s">
        <v>3252</v>
      </c>
    </row>
    <row r="77" spans="1:1" ht="111.75" customHeight="1" x14ac:dyDescent="0.3">
      <c r="A77" s="76" t="s">
        <v>3249</v>
      </c>
    </row>
    <row r="79" spans="1:1" ht="140.25" customHeight="1" x14ac:dyDescent="0.3">
      <c r="A79" s="76" t="s">
        <v>3248</v>
      </c>
    </row>
    <row r="81" spans="1:1" ht="69" customHeight="1" x14ac:dyDescent="0.3">
      <c r="A81" s="76" t="s">
        <v>3160</v>
      </c>
    </row>
    <row r="83" spans="1:1" ht="127.5" customHeight="1" x14ac:dyDescent="0.3">
      <c r="A83" s="76" t="s">
        <v>3159</v>
      </c>
    </row>
    <row r="85" spans="1:1" ht="82.5" customHeight="1" x14ac:dyDescent="0.3">
      <c r="A85" s="76" t="s">
        <v>3156</v>
      </c>
    </row>
    <row r="87" spans="1:1" ht="53.25" customHeight="1" x14ac:dyDescent="0.3">
      <c r="A87" s="76" t="s">
        <v>3153</v>
      </c>
    </row>
    <row r="89" spans="1:1" ht="68.25" customHeight="1" x14ac:dyDescent="0.3">
      <c r="A89" s="2" t="s">
        <v>3145</v>
      </c>
    </row>
    <row r="91" spans="1:1" ht="68.25" customHeight="1" x14ac:dyDescent="0.3">
      <c r="A91" s="2" t="s">
        <v>3143</v>
      </c>
    </row>
    <row r="93" spans="1:1" ht="126.75" customHeight="1" x14ac:dyDescent="0.3">
      <c r="A93" s="2" t="s">
        <v>2816</v>
      </c>
    </row>
    <row r="95" spans="1:1" ht="51.75" customHeight="1" x14ac:dyDescent="0.3">
      <c r="A95" s="2" t="s">
        <v>2815</v>
      </c>
    </row>
    <row r="97" spans="1:1" ht="64.5" customHeight="1" x14ac:dyDescent="0.3">
      <c r="A97" s="2" t="s">
        <v>2814</v>
      </c>
    </row>
    <row r="99" spans="1:1" ht="111" customHeight="1" x14ac:dyDescent="0.3">
      <c r="A99" s="2" t="s">
        <v>2813</v>
      </c>
    </row>
    <row r="101" spans="1:1" ht="81" customHeight="1" x14ac:dyDescent="0.3">
      <c r="A101" s="2" t="s">
        <v>2785</v>
      </c>
    </row>
    <row r="103" spans="1:1" ht="51" customHeight="1" x14ac:dyDescent="0.3">
      <c r="A103" s="2" t="s">
        <v>2767</v>
      </c>
    </row>
    <row r="105" spans="1:1" ht="141.75" customHeight="1" x14ac:dyDescent="0.3">
      <c r="A105" s="2" t="s">
        <v>2760</v>
      </c>
    </row>
    <row r="107" spans="1:1" ht="36" customHeight="1" x14ac:dyDescent="0.3">
      <c r="A107" s="2" t="s">
        <v>2735</v>
      </c>
    </row>
    <row r="109" spans="1:1" ht="81" customHeight="1" x14ac:dyDescent="0.3">
      <c r="A109" s="2" t="s">
        <v>2734</v>
      </c>
    </row>
    <row r="111" spans="1:1" ht="99" customHeight="1" x14ac:dyDescent="0.3">
      <c r="A111" s="2" t="s">
        <v>2671</v>
      </c>
    </row>
    <row r="113" spans="1:1" ht="173.25" customHeight="1" x14ac:dyDescent="0.3">
      <c r="A113" s="2" t="s">
        <v>2670</v>
      </c>
    </row>
    <row r="115" spans="1:1" ht="99.75" customHeight="1" x14ac:dyDescent="0.3">
      <c r="A115" s="2" t="s">
        <v>2669</v>
      </c>
    </row>
    <row r="117" spans="1:1" ht="53.25" customHeight="1" x14ac:dyDescent="0.3">
      <c r="A117" s="2" t="s">
        <v>2597</v>
      </c>
    </row>
    <row r="119" spans="1:1" ht="175.5" customHeight="1" x14ac:dyDescent="0.3">
      <c r="A119" s="2" t="s">
        <v>2315</v>
      </c>
    </row>
    <row r="121" spans="1:1" ht="82.5" customHeight="1" x14ac:dyDescent="0.3">
      <c r="A121" s="2" t="s">
        <v>2314</v>
      </c>
    </row>
    <row r="123" spans="1:1" ht="37.5" customHeight="1" x14ac:dyDescent="0.3">
      <c r="A123" s="2" t="s">
        <v>2312</v>
      </c>
    </row>
    <row r="125" spans="1:1" ht="141.75" customHeight="1" x14ac:dyDescent="0.3">
      <c r="A125" s="2" t="s">
        <v>2311</v>
      </c>
    </row>
    <row r="127" spans="1:1" ht="171.75" customHeight="1" x14ac:dyDescent="0.3">
      <c r="A127" s="2" t="s">
        <v>2211</v>
      </c>
    </row>
    <row r="129" spans="1:1" ht="38.25" customHeight="1" x14ac:dyDescent="0.3">
      <c r="A129" s="2" t="s">
        <v>2171</v>
      </c>
    </row>
    <row r="131" spans="1:1" ht="67.5" customHeight="1" x14ac:dyDescent="0.3">
      <c r="A131" s="2" t="s">
        <v>2153</v>
      </c>
    </row>
    <row r="133" spans="1:1" ht="67.5" customHeight="1" x14ac:dyDescent="0.3">
      <c r="A133" s="2" t="s">
        <v>2140</v>
      </c>
    </row>
    <row r="135" spans="1:1" ht="38.25" customHeight="1" x14ac:dyDescent="0.3">
      <c r="A135" s="2" t="s">
        <v>2118</v>
      </c>
    </row>
    <row r="137" spans="1:1" ht="128.25" customHeight="1" x14ac:dyDescent="0.3">
      <c r="A137" s="2" t="s">
        <v>2117</v>
      </c>
    </row>
    <row r="139" spans="1:1" ht="143.25" customHeight="1" x14ac:dyDescent="0.3">
      <c r="A139" s="2" t="s">
        <v>2115</v>
      </c>
    </row>
    <row r="141" spans="1:1" ht="305.25" customHeight="1" x14ac:dyDescent="0.3">
      <c r="A141" s="2" t="s">
        <v>2102</v>
      </c>
    </row>
    <row r="143" spans="1:1" ht="37.5" customHeight="1" x14ac:dyDescent="0.3">
      <c r="A143" s="2" t="s">
        <v>2036</v>
      </c>
    </row>
    <row r="145" spans="1:1" ht="24" customHeight="1" x14ac:dyDescent="0.3">
      <c r="A145" s="2" t="s">
        <v>2035</v>
      </c>
    </row>
    <row r="147" spans="1:1" ht="53.25" customHeight="1" x14ac:dyDescent="0.3">
      <c r="A147" s="2" t="s">
        <v>2034</v>
      </c>
    </row>
    <row r="149" spans="1:1" ht="264.75" customHeight="1" x14ac:dyDescent="0.3">
      <c r="A149" s="2" t="s">
        <v>2033</v>
      </c>
    </row>
    <row r="151" spans="1:1" ht="69.75" customHeight="1" x14ac:dyDescent="0.3">
      <c r="A151" s="2" t="s">
        <v>1869</v>
      </c>
    </row>
    <row r="153" spans="1:1" ht="21" customHeight="1" x14ac:dyDescent="0.3">
      <c r="A153" s="2" t="s">
        <v>1864</v>
      </c>
    </row>
    <row r="155" spans="1:1" ht="67.5" customHeight="1" x14ac:dyDescent="0.3">
      <c r="A155" s="2" t="s">
        <v>1861</v>
      </c>
    </row>
    <row r="157" spans="1:1" ht="67.5" customHeight="1" x14ac:dyDescent="0.3">
      <c r="A157" s="2" t="s">
        <v>1854</v>
      </c>
    </row>
    <row r="159" spans="1:1" ht="51.75" customHeight="1" x14ac:dyDescent="0.3">
      <c r="A159" s="2" t="s">
        <v>1801</v>
      </c>
    </row>
    <row r="161" spans="1:1" ht="39" customHeight="1" x14ac:dyDescent="0.3">
      <c r="A161" s="2" t="s">
        <v>1800</v>
      </c>
    </row>
    <row r="163" spans="1:1" ht="99" customHeight="1" x14ac:dyDescent="0.3">
      <c r="A163" s="2" t="s">
        <v>1781</v>
      </c>
    </row>
    <row r="165" spans="1:1" ht="99" customHeight="1" x14ac:dyDescent="0.3">
      <c r="A165" s="2" t="s">
        <v>1780</v>
      </c>
    </row>
    <row r="167" spans="1:1" ht="51" customHeight="1" x14ac:dyDescent="0.3">
      <c r="A167" s="2" t="s">
        <v>1584</v>
      </c>
    </row>
    <row r="169" spans="1:1" ht="68.25" customHeight="1" x14ac:dyDescent="0.3">
      <c r="A169" s="2" t="s">
        <v>1585</v>
      </c>
    </row>
    <row r="171" spans="1:1" ht="111" customHeight="1" x14ac:dyDescent="0.3">
      <c r="A171" s="2" t="s">
        <v>1532</v>
      </c>
    </row>
    <row r="173" spans="1:1" ht="36" customHeight="1" x14ac:dyDescent="0.3">
      <c r="A173" s="2" t="s">
        <v>3</v>
      </c>
    </row>
    <row r="175" spans="1:1" ht="50.25" customHeight="1" x14ac:dyDescent="0.3">
      <c r="A175" s="2" t="s">
        <v>4</v>
      </c>
    </row>
    <row r="177" spans="1:1" ht="51" customHeight="1" x14ac:dyDescent="0.3">
      <c r="A177" s="2" t="s">
        <v>5</v>
      </c>
    </row>
    <row r="179" spans="1:1" ht="66.75" customHeight="1" x14ac:dyDescent="0.3">
      <c r="A179" s="2" t="s">
        <v>6</v>
      </c>
    </row>
    <row r="181" spans="1:1" ht="82.5" customHeight="1" x14ac:dyDescent="0.3">
      <c r="A181" s="2" t="s">
        <v>7</v>
      </c>
    </row>
    <row r="183" spans="1:1" ht="145.5" customHeight="1" x14ac:dyDescent="0.3">
      <c r="A183" s="2" t="s">
        <v>8</v>
      </c>
    </row>
    <row r="185" spans="1:1" ht="36" customHeight="1" x14ac:dyDescent="0.3">
      <c r="A185" s="2" t="s">
        <v>9</v>
      </c>
    </row>
    <row r="187" spans="1:1" ht="66.75" customHeight="1" x14ac:dyDescent="0.3">
      <c r="A187" s="2" t="s">
        <v>10</v>
      </c>
    </row>
    <row r="189" spans="1:1" ht="97.5" customHeight="1" x14ac:dyDescent="0.3">
      <c r="A189" s="2" t="s">
        <v>11</v>
      </c>
    </row>
    <row r="191" spans="1:1" ht="38.25" customHeight="1" x14ac:dyDescent="0.3">
      <c r="A191" s="2" t="s">
        <v>12</v>
      </c>
    </row>
    <row r="193" spans="1:1" ht="132.75" customHeight="1" x14ac:dyDescent="0.3">
      <c r="A193" s="2" t="s">
        <v>13</v>
      </c>
    </row>
    <row r="195" spans="1:1" ht="67.5" customHeight="1" x14ac:dyDescent="0.3">
      <c r="A195" s="2" t="s">
        <v>14</v>
      </c>
    </row>
    <row r="197" spans="1:1" ht="51" customHeight="1" x14ac:dyDescent="0.3">
      <c r="A197" s="2" t="s">
        <v>15</v>
      </c>
    </row>
    <row r="199" spans="1:1" ht="51" customHeight="1" x14ac:dyDescent="0.3">
      <c r="A199" s="2" t="s">
        <v>16</v>
      </c>
    </row>
    <row r="201" spans="1:1" ht="57.6" x14ac:dyDescent="0.3">
      <c r="A201" s="2" t="s">
        <v>17</v>
      </c>
    </row>
    <row r="203" spans="1:1" ht="28.8" x14ac:dyDescent="0.3">
      <c r="A203" s="2" t="s">
        <v>18</v>
      </c>
    </row>
    <row r="205" spans="1:1" ht="97.5" customHeight="1" x14ac:dyDescent="0.3">
      <c r="A205" s="2" t="s">
        <v>19</v>
      </c>
    </row>
    <row r="207" spans="1:1" ht="57.6" x14ac:dyDescent="0.3">
      <c r="A207" s="2" t="s">
        <v>20</v>
      </c>
    </row>
    <row r="209" spans="1:1" ht="111.75" customHeight="1" x14ac:dyDescent="0.3">
      <c r="A209" s="2" t="s">
        <v>21</v>
      </c>
    </row>
    <row r="211" spans="1:1" ht="57.6" x14ac:dyDescent="0.3">
      <c r="A211" s="2" t="s">
        <v>22</v>
      </c>
    </row>
    <row r="213" spans="1:1" ht="43.2" x14ac:dyDescent="0.3">
      <c r="A213" s="2" t="s">
        <v>23</v>
      </c>
    </row>
    <row r="215" spans="1:1" ht="43.2" x14ac:dyDescent="0.3">
      <c r="A215" s="2" t="s">
        <v>24</v>
      </c>
    </row>
    <row r="217" spans="1:1" ht="144" x14ac:dyDescent="0.3">
      <c r="A217" s="2" t="s">
        <v>25</v>
      </c>
    </row>
    <row r="219" spans="1:1" ht="172.8" x14ac:dyDescent="0.3">
      <c r="A219" s="2" t="s">
        <v>26</v>
      </c>
    </row>
    <row r="221" spans="1:1" ht="79.5" customHeight="1" x14ac:dyDescent="0.3">
      <c r="A221" s="2" t="s">
        <v>27</v>
      </c>
    </row>
    <row r="259" spans="1:1" x14ac:dyDescent="0.3">
      <c r="A259"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F9EF1-D877-42A8-AB27-0EEC7BC07DDF}">
  <dimension ref="A1:I500"/>
  <sheetViews>
    <sheetView zoomScaleNormal="100" workbookViewId="0">
      <pane ySplit="1" topLeftCell="A2" activePane="bottomLeft" state="frozen"/>
      <selection pane="bottomLeft" activeCell="D16" sqref="D16"/>
    </sheetView>
  </sheetViews>
  <sheetFormatPr defaultRowHeight="14.4" x14ac:dyDescent="0.3"/>
  <cols>
    <col min="1" max="1" width="4.5546875" customWidth="1"/>
    <col min="2" max="2" width="11.6640625" style="101" customWidth="1"/>
    <col min="3" max="3" width="25.44140625" customWidth="1"/>
    <col min="4" max="4" width="73" customWidth="1"/>
    <col min="5" max="5" width="108.109375" customWidth="1"/>
    <col min="6" max="6" width="30.6640625" customWidth="1"/>
    <col min="7" max="7" width="41.88671875" customWidth="1"/>
    <col min="8" max="8" width="9.109375" style="7" customWidth="1"/>
  </cols>
  <sheetData>
    <row r="1" spans="1:9" x14ac:dyDescent="0.3">
      <c r="A1" s="84" t="s">
        <v>4574</v>
      </c>
      <c r="B1" s="99" t="s">
        <v>3836</v>
      </c>
      <c r="C1" s="4" t="str">
        <f>"Additions ("&amp;COUNTA(C2:C23)&amp;")"</f>
        <v>Additions (21)</v>
      </c>
      <c r="D1" s="5" t="s">
        <v>28</v>
      </c>
      <c r="E1" s="6" t="s">
        <v>29</v>
      </c>
      <c r="F1" s="5" t="s">
        <v>30</v>
      </c>
      <c r="G1" s="5" t="s">
        <v>31</v>
      </c>
    </row>
    <row r="2" spans="1:9" s="38" customFormat="1" x14ac:dyDescent="0.3">
      <c r="A2" t="s">
        <v>4567</v>
      </c>
      <c r="B2" s="97">
        <v>43487</v>
      </c>
      <c r="C2" s="38" t="s">
        <v>4575</v>
      </c>
      <c r="D2" s="38" t="s">
        <v>4576</v>
      </c>
      <c r="E2" s="69" t="s">
        <v>4578</v>
      </c>
      <c r="F2" s="69" t="s">
        <v>4577</v>
      </c>
      <c r="G2" s="7" t="s">
        <v>1561</v>
      </c>
      <c r="H2" s="7"/>
      <c r="I2" s="7"/>
    </row>
    <row r="3" spans="1:9" s="38" customFormat="1" x14ac:dyDescent="0.3">
      <c r="A3" t="s">
        <v>4567</v>
      </c>
      <c r="B3" s="97">
        <v>43431</v>
      </c>
      <c r="C3" s="38" t="s">
        <v>4537</v>
      </c>
      <c r="D3" s="38" t="s">
        <v>4538</v>
      </c>
      <c r="E3" s="69" t="s">
        <v>4500</v>
      </c>
      <c r="F3" s="69" t="s">
        <v>2660</v>
      </c>
      <c r="G3" s="69" t="s">
        <v>57</v>
      </c>
      <c r="H3" s="7"/>
      <c r="I3" s="7"/>
    </row>
    <row r="4" spans="1:9" s="38" customFormat="1" x14ac:dyDescent="0.3">
      <c r="A4" t="s">
        <v>4567</v>
      </c>
      <c r="B4" s="97">
        <v>43431</v>
      </c>
      <c r="C4" s="38" t="s">
        <v>4539</v>
      </c>
      <c r="D4" s="38" t="s">
        <v>4540</v>
      </c>
      <c r="E4" s="69" t="s">
        <v>4500</v>
      </c>
      <c r="F4" s="69" t="s">
        <v>2660</v>
      </c>
      <c r="G4" s="69" t="s">
        <v>57</v>
      </c>
      <c r="H4" s="7"/>
      <c r="I4" s="7"/>
    </row>
    <row r="5" spans="1:9" s="38" customFormat="1" x14ac:dyDescent="0.3">
      <c r="A5" t="s">
        <v>4567</v>
      </c>
      <c r="B5" s="97">
        <v>43431</v>
      </c>
      <c r="C5" s="38" t="s">
        <v>4541</v>
      </c>
      <c r="D5" s="38" t="s">
        <v>4542</v>
      </c>
      <c r="E5" s="69" t="s">
        <v>3400</v>
      </c>
      <c r="F5" s="69" t="s">
        <v>2660</v>
      </c>
      <c r="G5" s="69" t="s">
        <v>57</v>
      </c>
      <c r="H5" s="7"/>
      <c r="I5" s="7"/>
    </row>
    <row r="6" spans="1:9" s="38" customFormat="1" x14ac:dyDescent="0.3">
      <c r="A6" t="s">
        <v>4567</v>
      </c>
      <c r="B6" s="97">
        <v>43431</v>
      </c>
      <c r="C6" s="38" t="s">
        <v>4543</v>
      </c>
      <c r="D6" s="38" t="s">
        <v>4544</v>
      </c>
      <c r="E6" s="69" t="s">
        <v>3400</v>
      </c>
      <c r="F6" s="69" t="s">
        <v>2660</v>
      </c>
      <c r="G6" s="69" t="s">
        <v>57</v>
      </c>
      <c r="H6" s="7"/>
      <c r="I6" s="7"/>
    </row>
    <row r="7" spans="1:9" s="38" customFormat="1" x14ac:dyDescent="0.3">
      <c r="A7" t="s">
        <v>4567</v>
      </c>
      <c r="B7" s="97">
        <v>43431</v>
      </c>
      <c r="C7" s="38" t="s">
        <v>4545</v>
      </c>
      <c r="D7" s="38" t="s">
        <v>4546</v>
      </c>
      <c r="E7" s="69" t="s">
        <v>4551</v>
      </c>
      <c r="F7" s="69" t="s">
        <v>2660</v>
      </c>
      <c r="G7" s="69" t="s">
        <v>57</v>
      </c>
      <c r="H7" s="7"/>
      <c r="I7" s="7"/>
    </row>
    <row r="8" spans="1:9" s="38" customFormat="1" x14ac:dyDescent="0.3">
      <c r="A8" t="s">
        <v>4567</v>
      </c>
      <c r="B8" s="97">
        <v>43431</v>
      </c>
      <c r="C8" s="38" t="s">
        <v>4547</v>
      </c>
      <c r="D8" s="38" t="s">
        <v>4548</v>
      </c>
      <c r="E8" s="69" t="s">
        <v>4551</v>
      </c>
      <c r="F8" s="69" t="s">
        <v>2660</v>
      </c>
      <c r="G8" s="69" t="s">
        <v>57</v>
      </c>
      <c r="H8" s="7"/>
      <c r="I8" s="7"/>
    </row>
    <row r="9" spans="1:9" s="38" customFormat="1" x14ac:dyDescent="0.3">
      <c r="A9" t="s">
        <v>4567</v>
      </c>
      <c r="B9" s="97">
        <v>43431</v>
      </c>
      <c r="C9" s="38" t="s">
        <v>4549</v>
      </c>
      <c r="D9" s="38" t="s">
        <v>4553</v>
      </c>
      <c r="E9" s="69" t="s">
        <v>4552</v>
      </c>
      <c r="F9" s="69" t="s">
        <v>2660</v>
      </c>
      <c r="G9" s="69" t="s">
        <v>46</v>
      </c>
      <c r="H9" s="7"/>
      <c r="I9" s="7"/>
    </row>
    <row r="10" spans="1:9" s="38" customFormat="1" x14ac:dyDescent="0.3">
      <c r="A10" t="s">
        <v>4567</v>
      </c>
      <c r="B10" s="97">
        <v>43431</v>
      </c>
      <c r="C10" s="38" t="s">
        <v>4550</v>
      </c>
      <c r="D10" s="38" t="s">
        <v>4554</v>
      </c>
      <c r="E10" s="69" t="s">
        <v>4552</v>
      </c>
      <c r="F10" s="69" t="s">
        <v>2660</v>
      </c>
      <c r="G10" s="69" t="s">
        <v>46</v>
      </c>
      <c r="H10" s="7"/>
      <c r="I10" s="7"/>
    </row>
    <row r="11" spans="1:9" s="38" customFormat="1" x14ac:dyDescent="0.3">
      <c r="A11" t="s">
        <v>4567</v>
      </c>
      <c r="B11" s="97">
        <v>43495</v>
      </c>
      <c r="C11" s="38" t="s">
        <v>2606</v>
      </c>
      <c r="D11" s="38" t="s">
        <v>2607</v>
      </c>
      <c r="E11" s="69" t="s">
        <v>4597</v>
      </c>
      <c r="F11" s="69" t="s">
        <v>2754</v>
      </c>
      <c r="G11" s="69" t="s">
        <v>1034</v>
      </c>
      <c r="H11" s="7"/>
      <c r="I11" s="7"/>
    </row>
    <row r="12" spans="1:9" s="38" customFormat="1" x14ac:dyDescent="0.3">
      <c r="A12" t="s">
        <v>4567</v>
      </c>
      <c r="B12" s="97">
        <v>43495</v>
      </c>
      <c r="C12" s="38" t="s">
        <v>2622</v>
      </c>
      <c r="D12" s="38" t="s">
        <v>2623</v>
      </c>
      <c r="E12" s="69" t="s">
        <v>4598</v>
      </c>
      <c r="F12" s="69" t="s">
        <v>2754</v>
      </c>
      <c r="G12" s="69" t="s">
        <v>1034</v>
      </c>
      <c r="H12" s="7"/>
      <c r="I12" s="7"/>
    </row>
    <row r="13" spans="1:9" s="38" customFormat="1" x14ac:dyDescent="0.3">
      <c r="A13" t="s">
        <v>4567</v>
      </c>
      <c r="B13" s="97">
        <v>43495</v>
      </c>
      <c r="C13" s="38" t="s">
        <v>4579</v>
      </c>
      <c r="D13" s="38" t="s">
        <v>4588</v>
      </c>
      <c r="E13" s="69" t="s">
        <v>4607</v>
      </c>
      <c r="F13" s="69" t="s">
        <v>1264</v>
      </c>
      <c r="G13" s="69" t="s">
        <v>1265</v>
      </c>
      <c r="H13" s="7"/>
      <c r="I13" s="7"/>
    </row>
    <row r="14" spans="1:9" s="38" customFormat="1" x14ac:dyDescent="0.3">
      <c r="A14" t="s">
        <v>4567</v>
      </c>
      <c r="B14" s="97">
        <v>43495</v>
      </c>
      <c r="C14" s="38" t="s">
        <v>4580</v>
      </c>
      <c r="D14" s="38" t="s">
        <v>4589</v>
      </c>
      <c r="E14" s="69" t="s">
        <v>4606</v>
      </c>
      <c r="F14" s="69" t="s">
        <v>1264</v>
      </c>
      <c r="G14" s="69" t="s">
        <v>1265</v>
      </c>
      <c r="H14" s="7"/>
      <c r="I14" s="7"/>
    </row>
    <row r="15" spans="1:9" s="38" customFormat="1" x14ac:dyDescent="0.3">
      <c r="A15" t="s">
        <v>4567</v>
      </c>
      <c r="B15" s="97">
        <v>43495</v>
      </c>
      <c r="C15" s="38" t="s">
        <v>4581</v>
      </c>
      <c r="D15" s="38" t="s">
        <v>4590</v>
      </c>
      <c r="E15" s="69" t="s">
        <v>4605</v>
      </c>
      <c r="F15" s="69" t="s">
        <v>1264</v>
      </c>
      <c r="G15" s="69" t="s">
        <v>1265</v>
      </c>
      <c r="H15" s="7"/>
      <c r="I15" s="7"/>
    </row>
    <row r="16" spans="1:9" s="38" customFormat="1" x14ac:dyDescent="0.3">
      <c r="A16" t="s">
        <v>4567</v>
      </c>
      <c r="B16" s="97">
        <v>43495</v>
      </c>
      <c r="C16" s="38" t="s">
        <v>4582</v>
      </c>
      <c r="D16" s="38" t="s">
        <v>4591</v>
      </c>
      <c r="E16" s="69" t="s">
        <v>4604</v>
      </c>
      <c r="F16" s="69" t="s">
        <v>1264</v>
      </c>
      <c r="G16" s="69" t="s">
        <v>1265</v>
      </c>
      <c r="H16" s="7"/>
      <c r="I16" s="7"/>
    </row>
    <row r="17" spans="1:9" s="38" customFormat="1" x14ac:dyDescent="0.3">
      <c r="A17" t="s">
        <v>4567</v>
      </c>
      <c r="B17" s="97">
        <v>43495</v>
      </c>
      <c r="C17" s="38" t="s">
        <v>4583</v>
      </c>
      <c r="D17" s="38" t="s">
        <v>4592</v>
      </c>
      <c r="E17" s="69" t="s">
        <v>4603</v>
      </c>
      <c r="F17" s="69" t="s">
        <v>1264</v>
      </c>
      <c r="G17" s="69" t="s">
        <v>1265</v>
      </c>
      <c r="H17" s="7"/>
      <c r="I17" s="7"/>
    </row>
    <row r="18" spans="1:9" s="38" customFormat="1" x14ac:dyDescent="0.3">
      <c r="A18" t="s">
        <v>4567</v>
      </c>
      <c r="B18" s="97">
        <v>43495</v>
      </c>
      <c r="C18" s="38" t="s">
        <v>4584</v>
      </c>
      <c r="D18" s="38" t="s">
        <v>4593</v>
      </c>
      <c r="E18" s="69" t="s">
        <v>4602</v>
      </c>
      <c r="F18" s="69" t="s">
        <v>1264</v>
      </c>
      <c r="G18" s="69" t="s">
        <v>1265</v>
      </c>
      <c r="H18" s="7"/>
      <c r="I18" s="7"/>
    </row>
    <row r="19" spans="1:9" s="38" customFormat="1" x14ac:dyDescent="0.3">
      <c r="A19" t="s">
        <v>4567</v>
      </c>
      <c r="B19" s="97">
        <v>43495</v>
      </c>
      <c r="C19" s="38" t="s">
        <v>4585</v>
      </c>
      <c r="D19" s="38" t="s">
        <v>4594</v>
      </c>
      <c r="E19" s="69" t="s">
        <v>4601</v>
      </c>
      <c r="F19" s="69" t="s">
        <v>1264</v>
      </c>
      <c r="G19" s="69" t="s">
        <v>1265</v>
      </c>
      <c r="H19" s="7"/>
      <c r="I19" s="7"/>
    </row>
    <row r="20" spans="1:9" s="38" customFormat="1" x14ac:dyDescent="0.3">
      <c r="A20" t="s">
        <v>4567</v>
      </c>
      <c r="B20" s="97">
        <v>43495</v>
      </c>
      <c r="C20" s="38" t="s">
        <v>4586</v>
      </c>
      <c r="D20" s="38" t="s">
        <v>4595</v>
      </c>
      <c r="E20" s="69" t="s">
        <v>4600</v>
      </c>
      <c r="F20" s="69" t="s">
        <v>1264</v>
      </c>
      <c r="G20" s="69" t="s">
        <v>1265</v>
      </c>
      <c r="H20" s="7"/>
      <c r="I20" s="7"/>
    </row>
    <row r="21" spans="1:9" s="38" customFormat="1" x14ac:dyDescent="0.3">
      <c r="A21" t="s">
        <v>4567</v>
      </c>
      <c r="B21" s="97">
        <v>43495</v>
      </c>
      <c r="C21" s="38" t="s">
        <v>4587</v>
      </c>
      <c r="D21" s="38" t="s">
        <v>4596</v>
      </c>
      <c r="E21" s="69" t="s">
        <v>4599</v>
      </c>
      <c r="F21" s="69" t="s">
        <v>1264</v>
      </c>
      <c r="G21" s="69" t="s">
        <v>1265</v>
      </c>
      <c r="H21" s="7"/>
      <c r="I21" s="7"/>
    </row>
    <row r="22" spans="1:9" s="38" customFormat="1" x14ac:dyDescent="0.3">
      <c r="A22" t="s">
        <v>4567</v>
      </c>
      <c r="B22" s="97">
        <v>43563</v>
      </c>
      <c r="C22" s="45" t="s">
        <v>4610</v>
      </c>
      <c r="D22" s="38" t="s">
        <v>4611</v>
      </c>
      <c r="E22" s="42" t="s">
        <v>4612</v>
      </c>
      <c r="F22" s="28" t="s">
        <v>4613</v>
      </c>
      <c r="G22" s="28" t="s">
        <v>4614</v>
      </c>
    </row>
    <row r="23" spans="1:9" s="38" customFormat="1" x14ac:dyDescent="0.3">
      <c r="A23" t="s">
        <v>4567</v>
      </c>
      <c r="B23" s="97"/>
      <c r="C23" s="45"/>
      <c r="D23" s="28"/>
      <c r="E23" s="17"/>
      <c r="F23" s="1"/>
      <c r="G23" s="1"/>
    </row>
    <row r="24" spans="1:9" s="38" customFormat="1" x14ac:dyDescent="0.3">
      <c r="A24" s="84" t="s">
        <v>4574</v>
      </c>
      <c r="B24" s="99" t="s">
        <v>3836</v>
      </c>
      <c r="C24" s="6" t="str">
        <f>"Deletions ("&amp;COUNTA(C25:C26)&amp;")"</f>
        <v>Deletions (1)</v>
      </c>
      <c r="D24" s="5" t="s">
        <v>28</v>
      </c>
      <c r="E24" s="17"/>
      <c r="F24" s="68"/>
      <c r="G24" s="1"/>
    </row>
    <row r="25" spans="1:9" s="38" customFormat="1" x14ac:dyDescent="0.3">
      <c r="A25" s="38" t="s">
        <v>4568</v>
      </c>
      <c r="B25" s="97">
        <v>43529</v>
      </c>
      <c r="C25" s="38" t="s">
        <v>99</v>
      </c>
      <c r="D25" s="38" t="s">
        <v>100</v>
      </c>
      <c r="E25" s="42"/>
      <c r="F25" s="42"/>
      <c r="G25" s="7"/>
    </row>
    <row r="26" spans="1:9" s="84" customFormat="1" x14ac:dyDescent="0.3">
      <c r="A26" s="38" t="s">
        <v>4568</v>
      </c>
      <c r="B26" s="97"/>
      <c r="C26" s="28"/>
      <c r="D26" s="28"/>
      <c r="E26"/>
      <c r="F26"/>
      <c r="G26"/>
    </row>
    <row r="27" spans="1:9" s="84" customFormat="1" x14ac:dyDescent="0.3">
      <c r="A27" s="84" t="s">
        <v>4574</v>
      </c>
      <c r="B27" s="99" t="s">
        <v>3836</v>
      </c>
      <c r="C27" s="6" t="str">
        <f>"Change in code ("&amp;COUNTA(C28:C29)&amp;")"</f>
        <v>Change in code (0)</v>
      </c>
      <c r="D27" s="6" t="s">
        <v>28</v>
      </c>
      <c r="E27" s="6" t="s">
        <v>114</v>
      </c>
      <c r="F27"/>
      <c r="G27"/>
    </row>
    <row r="28" spans="1:9" s="84" customFormat="1" x14ac:dyDescent="0.3">
      <c r="A28" s="84" t="s">
        <v>4569</v>
      </c>
      <c r="B28" s="97"/>
      <c r="C28" s="7"/>
      <c r="D28" s="38"/>
      <c r="E28"/>
      <c r="F28"/>
      <c r="G28"/>
    </row>
    <row r="29" spans="1:9" s="84" customFormat="1" x14ac:dyDescent="0.3">
      <c r="A29" s="84" t="s">
        <v>4569</v>
      </c>
      <c r="B29" s="97"/>
      <c r="C29" s="7"/>
      <c r="D29" s="7"/>
      <c r="E29"/>
      <c r="F29"/>
      <c r="G29"/>
    </row>
    <row r="30" spans="1:9" s="84" customFormat="1" x14ac:dyDescent="0.3">
      <c r="A30" s="84" t="s">
        <v>4574</v>
      </c>
      <c r="B30" s="99" t="s">
        <v>3836</v>
      </c>
      <c r="C30" s="6" t="str">
        <f>"Change in description ("&amp;COUNTA(C31:C32)&amp;")"</f>
        <v>Change in description (1)</v>
      </c>
      <c r="D30" s="6" t="s">
        <v>115</v>
      </c>
      <c r="E30" s="6" t="s">
        <v>116</v>
      </c>
      <c r="F30"/>
      <c r="G30"/>
    </row>
    <row r="31" spans="1:9" s="84" customFormat="1" x14ac:dyDescent="0.3">
      <c r="A31" s="84" t="s">
        <v>4570</v>
      </c>
      <c r="B31" s="97">
        <v>43559</v>
      </c>
      <c r="C31" s="7" t="s">
        <v>1398</v>
      </c>
      <c r="D31" s="38" t="s">
        <v>1400</v>
      </c>
      <c r="E31" s="38" t="s">
        <v>4609</v>
      </c>
      <c r="F31" s="38"/>
      <c r="G31" s="38"/>
    </row>
    <row r="32" spans="1:9" s="84" customFormat="1" x14ac:dyDescent="0.3">
      <c r="A32" s="84" t="s">
        <v>4570</v>
      </c>
      <c r="B32" s="97"/>
      <c r="C32"/>
      <c r="D32"/>
      <c r="E32"/>
      <c r="F32"/>
      <c r="G32"/>
    </row>
    <row r="33" spans="1:9" s="84" customFormat="1" x14ac:dyDescent="0.3">
      <c r="A33" s="84" t="s">
        <v>4574</v>
      </c>
      <c r="B33" s="99" t="s">
        <v>3836</v>
      </c>
      <c r="C33" s="5" t="str">
        <f>"Change in definition ("&amp;COUNTA(C34:C35)&amp;")"</f>
        <v>Change in definition (0)</v>
      </c>
      <c r="D33" s="5" t="s">
        <v>198</v>
      </c>
      <c r="E33" s="5" t="s">
        <v>199</v>
      </c>
      <c r="F33"/>
      <c r="G33"/>
    </row>
    <row r="34" spans="1:9" s="84" customFormat="1" x14ac:dyDescent="0.3">
      <c r="A34" s="84" t="s">
        <v>4571</v>
      </c>
      <c r="B34" s="97"/>
      <c r="C34" s="96"/>
      <c r="D34" s="37"/>
      <c r="E34" s="37"/>
      <c r="F34" s="7"/>
      <c r="G34" s="7"/>
    </row>
    <row r="35" spans="1:9" s="84" customFormat="1" x14ac:dyDescent="0.3">
      <c r="A35" s="84" t="s">
        <v>4571</v>
      </c>
      <c r="B35" s="97"/>
      <c r="C35"/>
      <c r="D35"/>
      <c r="E35"/>
      <c r="F35"/>
      <c r="G35"/>
    </row>
    <row r="36" spans="1:9" s="84" customFormat="1" x14ac:dyDescent="0.3">
      <c r="A36" s="84" t="s">
        <v>4574</v>
      </c>
      <c r="B36" s="99" t="s">
        <v>3836</v>
      </c>
      <c r="C36" s="5" t="str">
        <f>"Change in source ("&amp;COUNTA(C37:C38)&amp;")"</f>
        <v>Change in source (0)</v>
      </c>
      <c r="D36" s="5" t="s">
        <v>307</v>
      </c>
      <c r="E36" s="5" t="s">
        <v>308</v>
      </c>
      <c r="F36"/>
      <c r="G36"/>
    </row>
    <row r="37" spans="1:9" s="84" customFormat="1" x14ac:dyDescent="0.3">
      <c r="A37" s="84" t="s">
        <v>4572</v>
      </c>
      <c r="B37" s="97"/>
      <c r="C37" s="95"/>
      <c r="D37" s="69"/>
      <c r="E37" s="69"/>
    </row>
    <row r="38" spans="1:9" s="7" customFormat="1" x14ac:dyDescent="0.3">
      <c r="A38" s="84" t="s">
        <v>4572</v>
      </c>
      <c r="B38" s="97"/>
      <c r="C38"/>
      <c r="D38"/>
      <c r="E38"/>
      <c r="F38"/>
      <c r="G38"/>
      <c r="I38"/>
    </row>
    <row r="39" spans="1:9" s="7" customFormat="1" x14ac:dyDescent="0.3">
      <c r="A39" s="84" t="s">
        <v>4574</v>
      </c>
      <c r="B39" s="99" t="s">
        <v>3836</v>
      </c>
      <c r="C39" s="5" t="str">
        <f>"Change in topic ("&amp;COUNTA(C40:C41)&amp;")"</f>
        <v>Change in topic (0)</v>
      </c>
      <c r="D39" s="5" t="s">
        <v>374</v>
      </c>
      <c r="E39" s="5" t="s">
        <v>375</v>
      </c>
      <c r="F39"/>
      <c r="G39"/>
      <c r="I39"/>
    </row>
    <row r="40" spans="1:9" s="7" customFormat="1" x14ac:dyDescent="0.3">
      <c r="A40" s="84" t="s">
        <v>4573</v>
      </c>
      <c r="B40" s="97"/>
      <c r="C40"/>
      <c r="D40"/>
      <c r="E40"/>
      <c r="F40"/>
      <c r="G40"/>
      <c r="I40"/>
    </row>
    <row r="41" spans="1:9" x14ac:dyDescent="0.3">
      <c r="B41" s="97"/>
    </row>
    <row r="42" spans="1:9" x14ac:dyDescent="0.3">
      <c r="B42" s="97"/>
      <c r="H42"/>
    </row>
    <row r="43" spans="1:9" x14ac:dyDescent="0.3">
      <c r="B43" s="97"/>
      <c r="H43"/>
    </row>
    <row r="44" spans="1:9" x14ac:dyDescent="0.3">
      <c r="B44" s="97"/>
      <c r="H44"/>
    </row>
    <row r="45" spans="1:9" x14ac:dyDescent="0.3">
      <c r="B45" s="97"/>
      <c r="H45"/>
    </row>
    <row r="46" spans="1:9" x14ac:dyDescent="0.3">
      <c r="B46" s="97"/>
      <c r="H46"/>
    </row>
    <row r="47" spans="1:9" x14ac:dyDescent="0.3">
      <c r="B47" s="97"/>
      <c r="H47"/>
    </row>
    <row r="48" spans="1:9" x14ac:dyDescent="0.3">
      <c r="B48" s="97"/>
      <c r="H48"/>
    </row>
    <row r="49" spans="2:8" x14ac:dyDescent="0.3">
      <c r="B49" s="97"/>
      <c r="H49"/>
    </row>
    <row r="50" spans="2:8" x14ac:dyDescent="0.3">
      <c r="B50" s="97"/>
      <c r="H50"/>
    </row>
    <row r="51" spans="2:8" x14ac:dyDescent="0.3">
      <c r="B51" s="97"/>
      <c r="H51"/>
    </row>
    <row r="52" spans="2:8" x14ac:dyDescent="0.3">
      <c r="B52" s="97"/>
      <c r="H52"/>
    </row>
    <row r="53" spans="2:8" x14ac:dyDescent="0.3">
      <c r="B53" s="97"/>
      <c r="H53"/>
    </row>
    <row r="54" spans="2:8" x14ac:dyDescent="0.3">
      <c r="B54" s="97"/>
      <c r="H54"/>
    </row>
    <row r="55" spans="2:8" x14ac:dyDescent="0.3">
      <c r="B55" s="97"/>
      <c r="H55"/>
    </row>
    <row r="56" spans="2:8" x14ac:dyDescent="0.3">
      <c r="B56" s="97"/>
      <c r="H56"/>
    </row>
    <row r="57" spans="2:8" x14ac:dyDescent="0.3">
      <c r="B57" s="97"/>
      <c r="H57"/>
    </row>
    <row r="58" spans="2:8" x14ac:dyDescent="0.3">
      <c r="B58" s="97"/>
      <c r="H58"/>
    </row>
    <row r="59" spans="2:8" x14ac:dyDescent="0.3">
      <c r="B59" s="97"/>
      <c r="H59"/>
    </row>
    <row r="60" spans="2:8" x14ac:dyDescent="0.3">
      <c r="B60" s="97"/>
      <c r="H60"/>
    </row>
    <row r="61" spans="2:8" x14ac:dyDescent="0.3">
      <c r="B61" s="97"/>
      <c r="H61"/>
    </row>
    <row r="62" spans="2:8" x14ac:dyDescent="0.3">
      <c r="B62" s="97"/>
      <c r="H62"/>
    </row>
    <row r="63" spans="2:8" x14ac:dyDescent="0.3">
      <c r="B63" s="97"/>
      <c r="H63"/>
    </row>
    <row r="64" spans="2:8" x14ac:dyDescent="0.3">
      <c r="B64" s="97"/>
      <c r="H64"/>
    </row>
    <row r="65" spans="2:8" x14ac:dyDescent="0.3">
      <c r="B65" s="97"/>
      <c r="H65"/>
    </row>
    <row r="66" spans="2:8" x14ac:dyDescent="0.3">
      <c r="B66" s="100"/>
      <c r="H66"/>
    </row>
    <row r="67" spans="2:8" x14ac:dyDescent="0.3">
      <c r="B67" s="100"/>
      <c r="H67"/>
    </row>
    <row r="68" spans="2:8" x14ac:dyDescent="0.3">
      <c r="B68" s="100"/>
      <c r="H68"/>
    </row>
    <row r="69" spans="2:8" x14ac:dyDescent="0.3">
      <c r="B69" s="100"/>
      <c r="H69"/>
    </row>
    <row r="70" spans="2:8" x14ac:dyDescent="0.3">
      <c r="B70" s="100"/>
      <c r="H70"/>
    </row>
    <row r="71" spans="2:8" x14ac:dyDescent="0.3">
      <c r="B71" s="100"/>
      <c r="H71"/>
    </row>
    <row r="72" spans="2:8" x14ac:dyDescent="0.3">
      <c r="B72" s="100"/>
      <c r="H72"/>
    </row>
    <row r="73" spans="2:8" x14ac:dyDescent="0.3">
      <c r="B73" s="100"/>
      <c r="H73"/>
    </row>
    <row r="74" spans="2:8" x14ac:dyDescent="0.3">
      <c r="B74" s="100"/>
      <c r="H74"/>
    </row>
    <row r="75" spans="2:8" x14ac:dyDescent="0.3">
      <c r="B75" s="100"/>
      <c r="H75"/>
    </row>
    <row r="76" spans="2:8" x14ac:dyDescent="0.3">
      <c r="B76" s="100"/>
      <c r="H76"/>
    </row>
    <row r="77" spans="2:8" x14ac:dyDescent="0.3">
      <c r="B77" s="100"/>
      <c r="H77"/>
    </row>
    <row r="78" spans="2:8" x14ac:dyDescent="0.3">
      <c r="B78" s="100"/>
      <c r="H78"/>
    </row>
    <row r="79" spans="2:8" x14ac:dyDescent="0.3">
      <c r="B79" s="100"/>
      <c r="H79"/>
    </row>
    <row r="80" spans="2:8" x14ac:dyDescent="0.3">
      <c r="B80" s="100"/>
      <c r="H80"/>
    </row>
    <row r="81" spans="2:8" x14ac:dyDescent="0.3">
      <c r="B81" s="100"/>
      <c r="H81"/>
    </row>
    <row r="82" spans="2:8" x14ac:dyDescent="0.3">
      <c r="B82" s="100"/>
      <c r="H82"/>
    </row>
    <row r="83" spans="2:8" x14ac:dyDescent="0.3">
      <c r="B83" s="100"/>
      <c r="H83"/>
    </row>
    <row r="84" spans="2:8" x14ac:dyDescent="0.3">
      <c r="B84" s="100"/>
      <c r="H84"/>
    </row>
    <row r="85" spans="2:8" x14ac:dyDescent="0.3">
      <c r="B85" s="100"/>
      <c r="H85"/>
    </row>
    <row r="86" spans="2:8" x14ac:dyDescent="0.3">
      <c r="B86" s="100"/>
      <c r="H86"/>
    </row>
    <row r="87" spans="2:8" x14ac:dyDescent="0.3">
      <c r="B87" s="100"/>
      <c r="H87"/>
    </row>
    <row r="88" spans="2:8" x14ac:dyDescent="0.3">
      <c r="B88" s="100"/>
      <c r="H88"/>
    </row>
    <row r="89" spans="2:8" x14ac:dyDescent="0.3">
      <c r="B89" s="100"/>
      <c r="H89"/>
    </row>
    <row r="90" spans="2:8" x14ac:dyDescent="0.3">
      <c r="B90" s="100"/>
      <c r="H90"/>
    </row>
    <row r="91" spans="2:8" x14ac:dyDescent="0.3">
      <c r="B91" s="100"/>
      <c r="H91"/>
    </row>
    <row r="92" spans="2:8" x14ac:dyDescent="0.3">
      <c r="B92" s="100"/>
      <c r="H92"/>
    </row>
    <row r="93" spans="2:8" x14ac:dyDescent="0.3">
      <c r="B93" s="100"/>
      <c r="H93"/>
    </row>
    <row r="94" spans="2:8" x14ac:dyDescent="0.3">
      <c r="B94" s="100"/>
      <c r="H94"/>
    </row>
    <row r="95" spans="2:8" x14ac:dyDescent="0.3">
      <c r="B95" s="100"/>
      <c r="H95"/>
    </row>
    <row r="96" spans="2:8" x14ac:dyDescent="0.3">
      <c r="B96" s="100"/>
      <c r="H96"/>
    </row>
    <row r="97" spans="2:8" x14ac:dyDescent="0.3">
      <c r="B97" s="100"/>
      <c r="H97"/>
    </row>
    <row r="98" spans="2:8" x14ac:dyDescent="0.3">
      <c r="B98" s="100"/>
      <c r="H98"/>
    </row>
    <row r="99" spans="2:8" x14ac:dyDescent="0.3">
      <c r="B99" s="100"/>
      <c r="H99"/>
    </row>
    <row r="100" spans="2:8" x14ac:dyDescent="0.3">
      <c r="B100" s="100"/>
      <c r="H100"/>
    </row>
    <row r="101" spans="2:8" x14ac:dyDescent="0.3">
      <c r="B101" s="100"/>
      <c r="H101"/>
    </row>
    <row r="102" spans="2:8" x14ac:dyDescent="0.3">
      <c r="B102" s="100"/>
      <c r="H102"/>
    </row>
    <row r="103" spans="2:8" x14ac:dyDescent="0.3">
      <c r="B103" s="100"/>
      <c r="H103"/>
    </row>
    <row r="104" spans="2:8" x14ac:dyDescent="0.3">
      <c r="B104" s="100"/>
      <c r="H104"/>
    </row>
    <row r="105" spans="2:8" x14ac:dyDescent="0.3">
      <c r="B105" s="100"/>
      <c r="H105"/>
    </row>
    <row r="106" spans="2:8" x14ac:dyDescent="0.3">
      <c r="B106" s="100"/>
      <c r="H106"/>
    </row>
    <row r="107" spans="2:8" x14ac:dyDescent="0.3">
      <c r="B107" s="100"/>
      <c r="H107"/>
    </row>
    <row r="108" spans="2:8" x14ac:dyDescent="0.3">
      <c r="B108" s="100"/>
      <c r="H108"/>
    </row>
    <row r="109" spans="2:8" x14ac:dyDescent="0.3">
      <c r="B109" s="100"/>
      <c r="H109"/>
    </row>
    <row r="110" spans="2:8" x14ac:dyDescent="0.3">
      <c r="B110" s="100"/>
      <c r="H110"/>
    </row>
    <row r="111" spans="2:8" x14ac:dyDescent="0.3">
      <c r="B111" s="100"/>
      <c r="H111"/>
    </row>
    <row r="112" spans="2:8" x14ac:dyDescent="0.3">
      <c r="B112" s="100"/>
      <c r="H112"/>
    </row>
    <row r="113" spans="2:8" x14ac:dyDescent="0.3">
      <c r="B113" s="100"/>
      <c r="H113"/>
    </row>
    <row r="114" spans="2:8" x14ac:dyDescent="0.3">
      <c r="B114" s="100"/>
      <c r="H114"/>
    </row>
    <row r="115" spans="2:8" x14ac:dyDescent="0.3">
      <c r="B115" s="100"/>
      <c r="H115"/>
    </row>
    <row r="116" spans="2:8" x14ac:dyDescent="0.3">
      <c r="B116" s="100"/>
      <c r="H116"/>
    </row>
    <row r="117" spans="2:8" x14ac:dyDescent="0.3">
      <c r="B117" s="100"/>
      <c r="H117"/>
    </row>
    <row r="118" spans="2:8" x14ac:dyDescent="0.3">
      <c r="B118" s="100"/>
      <c r="H118"/>
    </row>
    <row r="119" spans="2:8" x14ac:dyDescent="0.3">
      <c r="B119" s="100"/>
      <c r="H119"/>
    </row>
    <row r="120" spans="2:8" x14ac:dyDescent="0.3">
      <c r="B120" s="100"/>
      <c r="H120"/>
    </row>
    <row r="121" spans="2:8" x14ac:dyDescent="0.3">
      <c r="B121" s="100"/>
      <c r="H121"/>
    </row>
    <row r="122" spans="2:8" x14ac:dyDescent="0.3">
      <c r="B122" s="100"/>
      <c r="H122"/>
    </row>
    <row r="123" spans="2:8" x14ac:dyDescent="0.3">
      <c r="B123" s="100"/>
      <c r="H123"/>
    </row>
    <row r="124" spans="2:8" x14ac:dyDescent="0.3">
      <c r="B124" s="100"/>
      <c r="H124"/>
    </row>
    <row r="125" spans="2:8" x14ac:dyDescent="0.3">
      <c r="B125" s="100"/>
      <c r="H125"/>
    </row>
    <row r="126" spans="2:8" x14ac:dyDescent="0.3">
      <c r="B126" s="100"/>
      <c r="H126"/>
    </row>
    <row r="127" spans="2:8" x14ac:dyDescent="0.3">
      <c r="B127" s="100"/>
      <c r="H127"/>
    </row>
    <row r="128" spans="2:8" x14ac:dyDescent="0.3">
      <c r="B128" s="100"/>
      <c r="H128"/>
    </row>
    <row r="129" spans="2:8" x14ac:dyDescent="0.3">
      <c r="B129" s="100"/>
      <c r="H129"/>
    </row>
    <row r="130" spans="2:8" x14ac:dyDescent="0.3">
      <c r="B130" s="100"/>
      <c r="H130"/>
    </row>
    <row r="131" spans="2:8" x14ac:dyDescent="0.3">
      <c r="B131" s="100"/>
      <c r="H131"/>
    </row>
    <row r="132" spans="2:8" x14ac:dyDescent="0.3">
      <c r="B132" s="100"/>
      <c r="H132"/>
    </row>
    <row r="133" spans="2:8" x14ac:dyDescent="0.3">
      <c r="B133" s="100"/>
      <c r="H133"/>
    </row>
    <row r="134" spans="2:8" x14ac:dyDescent="0.3">
      <c r="B134" s="100"/>
      <c r="H134"/>
    </row>
    <row r="135" spans="2:8" x14ac:dyDescent="0.3">
      <c r="B135" s="100"/>
      <c r="H135"/>
    </row>
    <row r="136" spans="2:8" x14ac:dyDescent="0.3">
      <c r="B136" s="100"/>
      <c r="H136"/>
    </row>
    <row r="137" spans="2:8" x14ac:dyDescent="0.3">
      <c r="B137" s="100"/>
      <c r="H137"/>
    </row>
    <row r="138" spans="2:8" x14ac:dyDescent="0.3">
      <c r="B138" s="100"/>
      <c r="H138"/>
    </row>
    <row r="139" spans="2:8" x14ac:dyDescent="0.3">
      <c r="B139" s="100"/>
      <c r="H139"/>
    </row>
    <row r="140" spans="2:8" x14ac:dyDescent="0.3">
      <c r="B140" s="100"/>
      <c r="H140"/>
    </row>
    <row r="141" spans="2:8" x14ac:dyDescent="0.3">
      <c r="B141" s="100"/>
      <c r="H141"/>
    </row>
    <row r="142" spans="2:8" x14ac:dyDescent="0.3">
      <c r="B142" s="100"/>
      <c r="H142"/>
    </row>
    <row r="143" spans="2:8" x14ac:dyDescent="0.3">
      <c r="B143" s="100"/>
      <c r="H143"/>
    </row>
    <row r="144" spans="2:8" x14ac:dyDescent="0.3">
      <c r="B144" s="100"/>
      <c r="H144"/>
    </row>
    <row r="145" spans="2:8" x14ac:dyDescent="0.3">
      <c r="B145" s="100"/>
      <c r="H145"/>
    </row>
    <row r="146" spans="2:8" x14ac:dyDescent="0.3">
      <c r="B146" s="100"/>
      <c r="H146"/>
    </row>
    <row r="147" spans="2:8" x14ac:dyDescent="0.3">
      <c r="B147" s="100"/>
      <c r="H147"/>
    </row>
    <row r="148" spans="2:8" x14ac:dyDescent="0.3">
      <c r="B148" s="100"/>
      <c r="H148"/>
    </row>
    <row r="149" spans="2:8" x14ac:dyDescent="0.3">
      <c r="B149" s="100"/>
      <c r="H149"/>
    </row>
    <row r="150" spans="2:8" x14ac:dyDescent="0.3">
      <c r="B150" s="100"/>
      <c r="H150"/>
    </row>
    <row r="151" spans="2:8" x14ac:dyDescent="0.3">
      <c r="B151" s="100"/>
      <c r="H151"/>
    </row>
    <row r="152" spans="2:8" x14ac:dyDescent="0.3">
      <c r="B152" s="100"/>
      <c r="H152"/>
    </row>
    <row r="153" spans="2:8" x14ac:dyDescent="0.3">
      <c r="B153" s="100"/>
      <c r="H153"/>
    </row>
    <row r="154" spans="2:8" x14ac:dyDescent="0.3">
      <c r="B154" s="100"/>
      <c r="H154"/>
    </row>
    <row r="155" spans="2:8" x14ac:dyDescent="0.3">
      <c r="B155" s="100"/>
      <c r="H155"/>
    </row>
    <row r="156" spans="2:8" x14ac:dyDescent="0.3">
      <c r="B156" s="100"/>
      <c r="H156"/>
    </row>
    <row r="157" spans="2:8" x14ac:dyDescent="0.3">
      <c r="B157" s="100"/>
      <c r="H157"/>
    </row>
    <row r="158" spans="2:8" x14ac:dyDescent="0.3">
      <c r="B158" s="100"/>
      <c r="H158"/>
    </row>
    <row r="159" spans="2:8" x14ac:dyDescent="0.3">
      <c r="B159" s="100"/>
      <c r="H159"/>
    </row>
    <row r="160" spans="2:8" x14ac:dyDescent="0.3">
      <c r="B160" s="100"/>
      <c r="H160"/>
    </row>
    <row r="161" spans="2:8" x14ac:dyDescent="0.3">
      <c r="B161" s="100"/>
      <c r="H161"/>
    </row>
    <row r="162" spans="2:8" x14ac:dyDescent="0.3">
      <c r="B162" s="100"/>
      <c r="H162"/>
    </row>
    <row r="163" spans="2:8" x14ac:dyDescent="0.3">
      <c r="B163" s="100"/>
      <c r="H163"/>
    </row>
    <row r="164" spans="2:8" x14ac:dyDescent="0.3">
      <c r="B164" s="100"/>
      <c r="H164"/>
    </row>
    <row r="165" spans="2:8" x14ac:dyDescent="0.3">
      <c r="B165" s="100"/>
      <c r="H165"/>
    </row>
    <row r="166" spans="2:8" x14ac:dyDescent="0.3">
      <c r="B166" s="100"/>
      <c r="H166"/>
    </row>
    <row r="167" spans="2:8" x14ac:dyDescent="0.3">
      <c r="B167" s="100"/>
      <c r="H167"/>
    </row>
    <row r="168" spans="2:8" x14ac:dyDescent="0.3">
      <c r="B168" s="100"/>
      <c r="H168"/>
    </row>
    <row r="169" spans="2:8" x14ac:dyDescent="0.3">
      <c r="B169" s="100"/>
      <c r="H169"/>
    </row>
    <row r="170" spans="2:8" x14ac:dyDescent="0.3">
      <c r="B170" s="100"/>
      <c r="H170"/>
    </row>
    <row r="171" spans="2:8" x14ac:dyDescent="0.3">
      <c r="B171" s="100"/>
      <c r="H171"/>
    </row>
    <row r="172" spans="2:8" x14ac:dyDescent="0.3">
      <c r="B172" s="100"/>
      <c r="H172"/>
    </row>
    <row r="173" spans="2:8" x14ac:dyDescent="0.3">
      <c r="B173" s="100"/>
      <c r="H173"/>
    </row>
    <row r="174" spans="2:8" x14ac:dyDescent="0.3">
      <c r="B174" s="100"/>
      <c r="H174"/>
    </row>
    <row r="175" spans="2:8" x14ac:dyDescent="0.3">
      <c r="B175" s="100"/>
      <c r="H175"/>
    </row>
    <row r="176" spans="2:8" x14ac:dyDescent="0.3">
      <c r="B176" s="100"/>
      <c r="H176"/>
    </row>
    <row r="177" spans="2:8" x14ac:dyDescent="0.3">
      <c r="B177" s="100"/>
      <c r="H177"/>
    </row>
    <row r="178" spans="2:8" x14ac:dyDescent="0.3">
      <c r="B178" s="100"/>
      <c r="H178"/>
    </row>
    <row r="179" spans="2:8" x14ac:dyDescent="0.3">
      <c r="B179" s="100"/>
      <c r="H179"/>
    </row>
    <row r="180" spans="2:8" x14ac:dyDescent="0.3">
      <c r="B180" s="100"/>
      <c r="H180"/>
    </row>
    <row r="181" spans="2:8" x14ac:dyDescent="0.3">
      <c r="B181" s="100"/>
      <c r="H181"/>
    </row>
    <row r="182" spans="2:8" x14ac:dyDescent="0.3">
      <c r="B182" s="100"/>
      <c r="H182"/>
    </row>
    <row r="183" spans="2:8" x14ac:dyDescent="0.3">
      <c r="B183" s="100"/>
      <c r="H183"/>
    </row>
    <row r="184" spans="2:8" x14ac:dyDescent="0.3">
      <c r="B184" s="100"/>
      <c r="H184"/>
    </row>
    <row r="185" spans="2:8" x14ac:dyDescent="0.3">
      <c r="B185" s="100"/>
      <c r="H185"/>
    </row>
    <row r="186" spans="2:8" x14ac:dyDescent="0.3">
      <c r="B186" s="100"/>
      <c r="H186"/>
    </row>
    <row r="187" spans="2:8" x14ac:dyDescent="0.3">
      <c r="B187" s="100"/>
      <c r="H187"/>
    </row>
    <row r="188" spans="2:8" x14ac:dyDescent="0.3">
      <c r="B188" s="100"/>
      <c r="H188"/>
    </row>
    <row r="189" spans="2:8" x14ac:dyDescent="0.3">
      <c r="B189" s="100"/>
      <c r="H189"/>
    </row>
    <row r="190" spans="2:8" x14ac:dyDescent="0.3">
      <c r="B190" s="100"/>
      <c r="H190"/>
    </row>
    <row r="191" spans="2:8" x14ac:dyDescent="0.3">
      <c r="B191" s="100"/>
      <c r="H191"/>
    </row>
    <row r="192" spans="2:8" x14ac:dyDescent="0.3">
      <c r="B192" s="100"/>
      <c r="H192"/>
    </row>
    <row r="193" spans="2:8" x14ac:dyDescent="0.3">
      <c r="B193" s="100"/>
      <c r="H193"/>
    </row>
    <row r="194" spans="2:8" x14ac:dyDescent="0.3">
      <c r="B194" s="100"/>
      <c r="H194"/>
    </row>
    <row r="195" spans="2:8" x14ac:dyDescent="0.3">
      <c r="B195" s="100"/>
      <c r="H195"/>
    </row>
    <row r="196" spans="2:8" x14ac:dyDescent="0.3">
      <c r="B196" s="100"/>
      <c r="H196"/>
    </row>
    <row r="197" spans="2:8" x14ac:dyDescent="0.3">
      <c r="B197" s="100"/>
      <c r="H197"/>
    </row>
    <row r="198" spans="2:8" x14ac:dyDescent="0.3">
      <c r="B198" s="100"/>
      <c r="H198"/>
    </row>
    <row r="199" spans="2:8" x14ac:dyDescent="0.3">
      <c r="B199" s="100"/>
      <c r="H199"/>
    </row>
    <row r="200" spans="2:8" x14ac:dyDescent="0.3">
      <c r="B200" s="100"/>
      <c r="H200"/>
    </row>
    <row r="201" spans="2:8" x14ac:dyDescent="0.3">
      <c r="B201" s="100"/>
      <c r="H201"/>
    </row>
    <row r="202" spans="2:8" x14ac:dyDescent="0.3">
      <c r="B202" s="100"/>
      <c r="H202"/>
    </row>
    <row r="203" spans="2:8" x14ac:dyDescent="0.3">
      <c r="B203" s="100"/>
      <c r="H203"/>
    </row>
    <row r="204" spans="2:8" x14ac:dyDescent="0.3">
      <c r="B204" s="100"/>
      <c r="H204"/>
    </row>
    <row r="205" spans="2:8" x14ac:dyDescent="0.3">
      <c r="B205" s="100"/>
      <c r="H205"/>
    </row>
    <row r="206" spans="2:8" x14ac:dyDescent="0.3">
      <c r="B206" s="100"/>
      <c r="H206"/>
    </row>
    <row r="207" spans="2:8" x14ac:dyDescent="0.3">
      <c r="B207" s="100"/>
      <c r="H207"/>
    </row>
    <row r="208" spans="2:8" x14ac:dyDescent="0.3">
      <c r="B208" s="100"/>
      <c r="H208"/>
    </row>
    <row r="209" spans="2:8" x14ac:dyDescent="0.3">
      <c r="B209" s="100"/>
      <c r="H209"/>
    </row>
    <row r="210" spans="2:8" x14ac:dyDescent="0.3">
      <c r="B210" s="100"/>
      <c r="H210"/>
    </row>
    <row r="211" spans="2:8" x14ac:dyDescent="0.3">
      <c r="B211" s="100"/>
      <c r="H211"/>
    </row>
    <row r="212" spans="2:8" x14ac:dyDescent="0.3">
      <c r="B212" s="100"/>
      <c r="H212"/>
    </row>
    <row r="213" spans="2:8" x14ac:dyDescent="0.3">
      <c r="B213" s="100"/>
      <c r="H213"/>
    </row>
    <row r="214" spans="2:8" x14ac:dyDescent="0.3">
      <c r="B214" s="100"/>
      <c r="H214"/>
    </row>
    <row r="215" spans="2:8" x14ac:dyDescent="0.3">
      <c r="B215" s="100"/>
      <c r="H215"/>
    </row>
    <row r="216" spans="2:8" x14ac:dyDescent="0.3">
      <c r="B216" s="100"/>
      <c r="H216"/>
    </row>
    <row r="217" spans="2:8" x14ac:dyDescent="0.3">
      <c r="B217" s="100"/>
      <c r="H217"/>
    </row>
    <row r="218" spans="2:8" x14ac:dyDescent="0.3">
      <c r="B218" s="100"/>
      <c r="H218"/>
    </row>
    <row r="219" spans="2:8" x14ac:dyDescent="0.3">
      <c r="B219" s="100"/>
      <c r="H219"/>
    </row>
    <row r="220" spans="2:8" x14ac:dyDescent="0.3">
      <c r="B220" s="100"/>
      <c r="H220"/>
    </row>
    <row r="221" spans="2:8" x14ac:dyDescent="0.3">
      <c r="B221" s="100"/>
      <c r="H221"/>
    </row>
    <row r="222" spans="2:8" x14ac:dyDescent="0.3">
      <c r="B222" s="100"/>
      <c r="H222"/>
    </row>
    <row r="223" spans="2:8" x14ac:dyDescent="0.3">
      <c r="B223" s="100"/>
      <c r="H223"/>
    </row>
    <row r="224" spans="2:8" x14ac:dyDescent="0.3">
      <c r="B224" s="100"/>
      <c r="H224"/>
    </row>
    <row r="225" spans="2:8" x14ac:dyDescent="0.3">
      <c r="B225" s="100"/>
      <c r="H225"/>
    </row>
    <row r="226" spans="2:8" x14ac:dyDescent="0.3">
      <c r="B226" s="100"/>
      <c r="H226"/>
    </row>
    <row r="227" spans="2:8" x14ac:dyDescent="0.3">
      <c r="B227" s="100"/>
      <c r="H227"/>
    </row>
    <row r="228" spans="2:8" x14ac:dyDescent="0.3">
      <c r="B228" s="100"/>
      <c r="H228"/>
    </row>
    <row r="229" spans="2:8" x14ac:dyDescent="0.3">
      <c r="B229" s="100"/>
      <c r="H229"/>
    </row>
    <row r="230" spans="2:8" x14ac:dyDescent="0.3">
      <c r="B230" s="100"/>
      <c r="H230"/>
    </row>
    <row r="231" spans="2:8" x14ac:dyDescent="0.3">
      <c r="B231" s="100"/>
      <c r="H231"/>
    </row>
    <row r="232" spans="2:8" x14ac:dyDescent="0.3">
      <c r="B232" s="100"/>
      <c r="H232"/>
    </row>
    <row r="233" spans="2:8" x14ac:dyDescent="0.3">
      <c r="B233" s="100"/>
      <c r="H233"/>
    </row>
    <row r="234" spans="2:8" x14ac:dyDescent="0.3">
      <c r="B234" s="100"/>
      <c r="H234"/>
    </row>
    <row r="235" spans="2:8" x14ac:dyDescent="0.3">
      <c r="B235" s="100"/>
      <c r="H235"/>
    </row>
    <row r="236" spans="2:8" x14ac:dyDescent="0.3">
      <c r="B236" s="100"/>
      <c r="H236"/>
    </row>
    <row r="237" spans="2:8" x14ac:dyDescent="0.3">
      <c r="B237" s="100"/>
      <c r="H237"/>
    </row>
    <row r="238" spans="2:8" x14ac:dyDescent="0.3">
      <c r="B238" s="100"/>
      <c r="H238"/>
    </row>
    <row r="239" spans="2:8" x14ac:dyDescent="0.3">
      <c r="B239" s="100"/>
      <c r="H239"/>
    </row>
    <row r="240" spans="2:8" x14ac:dyDescent="0.3">
      <c r="B240" s="100"/>
      <c r="H240"/>
    </row>
    <row r="241" spans="2:8" x14ac:dyDescent="0.3">
      <c r="B241" s="100"/>
      <c r="H241"/>
    </row>
    <row r="242" spans="2:8" x14ac:dyDescent="0.3">
      <c r="B242" s="100"/>
      <c r="H242"/>
    </row>
    <row r="243" spans="2:8" x14ac:dyDescent="0.3">
      <c r="B243" s="100"/>
      <c r="H243"/>
    </row>
    <row r="244" spans="2:8" x14ac:dyDescent="0.3">
      <c r="B244" s="100"/>
      <c r="H244"/>
    </row>
    <row r="245" spans="2:8" x14ac:dyDescent="0.3">
      <c r="B245" s="100"/>
      <c r="H245"/>
    </row>
    <row r="246" spans="2:8" x14ac:dyDescent="0.3">
      <c r="B246" s="100"/>
      <c r="H246"/>
    </row>
    <row r="247" spans="2:8" x14ac:dyDescent="0.3">
      <c r="B247" s="100"/>
      <c r="H247"/>
    </row>
    <row r="248" spans="2:8" x14ac:dyDescent="0.3">
      <c r="B248" s="100"/>
      <c r="H248"/>
    </row>
    <row r="249" spans="2:8" x14ac:dyDescent="0.3">
      <c r="B249" s="100"/>
      <c r="H249"/>
    </row>
    <row r="250" spans="2:8" x14ac:dyDescent="0.3">
      <c r="B250" s="100"/>
      <c r="H250"/>
    </row>
    <row r="251" spans="2:8" x14ac:dyDescent="0.3">
      <c r="B251" s="100"/>
      <c r="H251"/>
    </row>
    <row r="252" spans="2:8" x14ac:dyDescent="0.3">
      <c r="B252" s="100"/>
      <c r="H252"/>
    </row>
    <row r="253" spans="2:8" x14ac:dyDescent="0.3">
      <c r="B253" s="100"/>
      <c r="H253"/>
    </row>
    <row r="254" spans="2:8" x14ac:dyDescent="0.3">
      <c r="B254" s="100"/>
      <c r="H254"/>
    </row>
    <row r="255" spans="2:8" x14ac:dyDescent="0.3">
      <c r="B255" s="100"/>
      <c r="H255"/>
    </row>
    <row r="256" spans="2:8" x14ac:dyDescent="0.3">
      <c r="B256" s="100"/>
      <c r="H256"/>
    </row>
    <row r="257" spans="2:8" x14ac:dyDescent="0.3">
      <c r="B257" s="100"/>
      <c r="H257"/>
    </row>
    <row r="258" spans="2:8" x14ac:dyDescent="0.3">
      <c r="B258" s="100"/>
      <c r="H258"/>
    </row>
    <row r="259" spans="2:8" x14ac:dyDescent="0.3">
      <c r="B259" s="100"/>
      <c r="H259"/>
    </row>
    <row r="260" spans="2:8" x14ac:dyDescent="0.3">
      <c r="B260" s="100"/>
      <c r="H260"/>
    </row>
    <row r="261" spans="2:8" x14ac:dyDescent="0.3">
      <c r="B261" s="100"/>
      <c r="H261"/>
    </row>
    <row r="262" spans="2:8" x14ac:dyDescent="0.3">
      <c r="B262" s="100"/>
      <c r="H262"/>
    </row>
    <row r="263" spans="2:8" x14ac:dyDescent="0.3">
      <c r="B263" s="100"/>
      <c r="H263"/>
    </row>
    <row r="264" spans="2:8" x14ac:dyDescent="0.3">
      <c r="B264" s="100"/>
      <c r="H264"/>
    </row>
    <row r="265" spans="2:8" x14ac:dyDescent="0.3">
      <c r="B265" s="100"/>
      <c r="H265"/>
    </row>
    <row r="266" spans="2:8" x14ac:dyDescent="0.3">
      <c r="B266" s="100"/>
      <c r="H266"/>
    </row>
    <row r="267" spans="2:8" x14ac:dyDescent="0.3">
      <c r="B267" s="100"/>
      <c r="H267"/>
    </row>
    <row r="268" spans="2:8" x14ac:dyDescent="0.3">
      <c r="B268" s="100"/>
      <c r="H268"/>
    </row>
    <row r="269" spans="2:8" x14ac:dyDescent="0.3">
      <c r="B269" s="100"/>
      <c r="H269"/>
    </row>
    <row r="270" spans="2:8" x14ac:dyDescent="0.3">
      <c r="B270" s="100"/>
      <c r="H270"/>
    </row>
    <row r="271" spans="2:8" x14ac:dyDescent="0.3">
      <c r="B271" s="100"/>
      <c r="H271"/>
    </row>
    <row r="272" spans="2:8" x14ac:dyDescent="0.3">
      <c r="B272" s="100"/>
      <c r="H272"/>
    </row>
    <row r="273" spans="2:8" x14ac:dyDescent="0.3">
      <c r="B273" s="100"/>
      <c r="H273"/>
    </row>
    <row r="274" spans="2:8" x14ac:dyDescent="0.3">
      <c r="B274" s="100"/>
      <c r="H274"/>
    </row>
    <row r="275" spans="2:8" x14ac:dyDescent="0.3">
      <c r="B275" s="100"/>
      <c r="H275"/>
    </row>
    <row r="276" spans="2:8" x14ac:dyDescent="0.3">
      <c r="B276" s="100"/>
      <c r="H276"/>
    </row>
    <row r="277" spans="2:8" x14ac:dyDescent="0.3">
      <c r="B277" s="100"/>
      <c r="H277"/>
    </row>
    <row r="278" spans="2:8" x14ac:dyDescent="0.3">
      <c r="B278" s="100"/>
      <c r="H278"/>
    </row>
    <row r="279" spans="2:8" x14ac:dyDescent="0.3">
      <c r="B279" s="100"/>
      <c r="H279"/>
    </row>
    <row r="280" spans="2:8" x14ac:dyDescent="0.3">
      <c r="B280" s="100"/>
      <c r="H280"/>
    </row>
    <row r="281" spans="2:8" x14ac:dyDescent="0.3">
      <c r="B281" s="100"/>
      <c r="H281"/>
    </row>
    <row r="282" spans="2:8" x14ac:dyDescent="0.3">
      <c r="B282" s="100"/>
      <c r="H282"/>
    </row>
    <row r="283" spans="2:8" x14ac:dyDescent="0.3">
      <c r="B283" s="100"/>
      <c r="H283"/>
    </row>
    <row r="284" spans="2:8" x14ac:dyDescent="0.3">
      <c r="B284" s="100"/>
      <c r="H284"/>
    </row>
    <row r="285" spans="2:8" x14ac:dyDescent="0.3">
      <c r="B285" s="100"/>
      <c r="H285"/>
    </row>
    <row r="286" spans="2:8" x14ac:dyDescent="0.3">
      <c r="B286" s="100"/>
      <c r="H286"/>
    </row>
    <row r="287" spans="2:8" x14ac:dyDescent="0.3">
      <c r="B287" s="100"/>
      <c r="H287"/>
    </row>
    <row r="288" spans="2:8" x14ac:dyDescent="0.3">
      <c r="B288" s="100"/>
      <c r="H288"/>
    </row>
    <row r="289" spans="2:8" x14ac:dyDescent="0.3">
      <c r="B289" s="100"/>
      <c r="H289"/>
    </row>
    <row r="290" spans="2:8" x14ac:dyDescent="0.3">
      <c r="B290" s="100"/>
      <c r="H290"/>
    </row>
    <row r="291" spans="2:8" x14ac:dyDescent="0.3">
      <c r="B291" s="100"/>
      <c r="H291"/>
    </row>
    <row r="292" spans="2:8" x14ac:dyDescent="0.3">
      <c r="B292" s="100"/>
      <c r="H292"/>
    </row>
    <row r="293" spans="2:8" x14ac:dyDescent="0.3">
      <c r="B293" s="100"/>
      <c r="H293"/>
    </row>
    <row r="294" spans="2:8" x14ac:dyDescent="0.3">
      <c r="B294" s="100"/>
      <c r="H294"/>
    </row>
    <row r="295" spans="2:8" x14ac:dyDescent="0.3">
      <c r="B295" s="100"/>
      <c r="H295"/>
    </row>
    <row r="296" spans="2:8" x14ac:dyDescent="0.3">
      <c r="B296" s="100"/>
      <c r="H296"/>
    </row>
    <row r="297" spans="2:8" x14ac:dyDescent="0.3">
      <c r="B297" s="100"/>
      <c r="H297"/>
    </row>
    <row r="298" spans="2:8" x14ac:dyDescent="0.3">
      <c r="B298" s="100"/>
      <c r="H298"/>
    </row>
    <row r="299" spans="2:8" x14ac:dyDescent="0.3">
      <c r="B299" s="100"/>
      <c r="H299"/>
    </row>
    <row r="300" spans="2:8" x14ac:dyDescent="0.3">
      <c r="B300" s="100"/>
      <c r="H300"/>
    </row>
    <row r="301" spans="2:8" x14ac:dyDescent="0.3">
      <c r="B301" s="100"/>
      <c r="H301"/>
    </row>
    <row r="302" spans="2:8" x14ac:dyDescent="0.3">
      <c r="B302" s="100"/>
      <c r="H302"/>
    </row>
    <row r="303" spans="2:8" x14ac:dyDescent="0.3">
      <c r="B303" s="100"/>
      <c r="H303"/>
    </row>
    <row r="304" spans="2:8" x14ac:dyDescent="0.3">
      <c r="B304" s="100"/>
      <c r="H304"/>
    </row>
    <row r="305" spans="2:8" x14ac:dyDescent="0.3">
      <c r="B305" s="100"/>
      <c r="H305"/>
    </row>
    <row r="306" spans="2:8" x14ac:dyDescent="0.3">
      <c r="B306" s="100"/>
      <c r="H306"/>
    </row>
    <row r="307" spans="2:8" x14ac:dyDescent="0.3">
      <c r="B307" s="100"/>
      <c r="H307"/>
    </row>
    <row r="308" spans="2:8" x14ac:dyDescent="0.3">
      <c r="B308" s="100"/>
      <c r="H308"/>
    </row>
    <row r="309" spans="2:8" x14ac:dyDescent="0.3">
      <c r="B309" s="100"/>
      <c r="H309"/>
    </row>
    <row r="310" spans="2:8" x14ac:dyDescent="0.3">
      <c r="B310" s="100"/>
      <c r="H310"/>
    </row>
    <row r="311" spans="2:8" x14ac:dyDescent="0.3">
      <c r="B311" s="100"/>
      <c r="H311"/>
    </row>
    <row r="312" spans="2:8" x14ac:dyDescent="0.3">
      <c r="B312" s="100"/>
      <c r="H312"/>
    </row>
    <row r="313" spans="2:8" x14ac:dyDescent="0.3">
      <c r="B313" s="100"/>
      <c r="H313"/>
    </row>
    <row r="314" spans="2:8" x14ac:dyDescent="0.3">
      <c r="B314" s="100"/>
      <c r="H314"/>
    </row>
    <row r="315" spans="2:8" x14ac:dyDescent="0.3">
      <c r="B315" s="100"/>
      <c r="H315"/>
    </row>
    <row r="316" spans="2:8" x14ac:dyDescent="0.3">
      <c r="B316" s="100"/>
      <c r="H316"/>
    </row>
    <row r="317" spans="2:8" x14ac:dyDescent="0.3">
      <c r="B317" s="100"/>
      <c r="H317"/>
    </row>
    <row r="318" spans="2:8" x14ac:dyDescent="0.3">
      <c r="B318" s="100"/>
      <c r="H318"/>
    </row>
    <row r="319" spans="2:8" x14ac:dyDescent="0.3">
      <c r="B319" s="100"/>
      <c r="H319"/>
    </row>
    <row r="320" spans="2:8" x14ac:dyDescent="0.3">
      <c r="B320" s="100"/>
      <c r="H320"/>
    </row>
    <row r="321" spans="2:8" x14ac:dyDescent="0.3">
      <c r="B321" s="100"/>
      <c r="H321"/>
    </row>
    <row r="322" spans="2:8" x14ac:dyDescent="0.3">
      <c r="B322" s="100"/>
      <c r="H322"/>
    </row>
    <row r="323" spans="2:8" x14ac:dyDescent="0.3">
      <c r="B323" s="100"/>
      <c r="H323"/>
    </row>
    <row r="324" spans="2:8" x14ac:dyDescent="0.3">
      <c r="B324" s="100"/>
      <c r="H324"/>
    </row>
    <row r="325" spans="2:8" x14ac:dyDescent="0.3">
      <c r="B325" s="100"/>
      <c r="H325"/>
    </row>
    <row r="326" spans="2:8" x14ac:dyDescent="0.3">
      <c r="B326" s="100"/>
      <c r="H326"/>
    </row>
    <row r="327" spans="2:8" x14ac:dyDescent="0.3">
      <c r="B327" s="100"/>
      <c r="H327"/>
    </row>
    <row r="328" spans="2:8" x14ac:dyDescent="0.3">
      <c r="B328" s="100"/>
      <c r="H328"/>
    </row>
    <row r="329" spans="2:8" x14ac:dyDescent="0.3">
      <c r="B329" s="100"/>
      <c r="H329"/>
    </row>
    <row r="330" spans="2:8" x14ac:dyDescent="0.3">
      <c r="B330" s="100"/>
      <c r="H330"/>
    </row>
    <row r="331" spans="2:8" x14ac:dyDescent="0.3">
      <c r="B331" s="100"/>
      <c r="H331"/>
    </row>
    <row r="332" spans="2:8" x14ac:dyDescent="0.3">
      <c r="B332" s="100"/>
      <c r="H332"/>
    </row>
    <row r="333" spans="2:8" x14ac:dyDescent="0.3">
      <c r="B333" s="100"/>
      <c r="H333"/>
    </row>
    <row r="334" spans="2:8" x14ac:dyDescent="0.3">
      <c r="B334" s="100"/>
      <c r="H334"/>
    </row>
    <row r="335" spans="2:8" x14ac:dyDescent="0.3">
      <c r="B335" s="100"/>
      <c r="H335"/>
    </row>
    <row r="336" spans="2:8" x14ac:dyDescent="0.3">
      <c r="B336" s="100"/>
      <c r="H336"/>
    </row>
    <row r="337" spans="2:8" x14ac:dyDescent="0.3">
      <c r="B337" s="100"/>
      <c r="H337"/>
    </row>
    <row r="338" spans="2:8" x14ac:dyDescent="0.3">
      <c r="B338" s="100"/>
      <c r="H338"/>
    </row>
    <row r="339" spans="2:8" x14ac:dyDescent="0.3">
      <c r="B339" s="100"/>
      <c r="H339"/>
    </row>
    <row r="340" spans="2:8" x14ac:dyDescent="0.3">
      <c r="B340" s="100"/>
      <c r="H340"/>
    </row>
    <row r="341" spans="2:8" x14ac:dyDescent="0.3">
      <c r="B341" s="100"/>
      <c r="H341"/>
    </row>
    <row r="342" spans="2:8" x14ac:dyDescent="0.3">
      <c r="B342" s="100"/>
      <c r="H342"/>
    </row>
    <row r="343" spans="2:8" x14ac:dyDescent="0.3">
      <c r="B343" s="100"/>
      <c r="H343"/>
    </row>
    <row r="344" spans="2:8" x14ac:dyDescent="0.3">
      <c r="B344" s="100"/>
      <c r="H344"/>
    </row>
    <row r="345" spans="2:8" x14ac:dyDescent="0.3">
      <c r="B345" s="100"/>
      <c r="H345"/>
    </row>
    <row r="346" spans="2:8" x14ac:dyDescent="0.3">
      <c r="B346" s="100"/>
      <c r="H346"/>
    </row>
    <row r="347" spans="2:8" x14ac:dyDescent="0.3">
      <c r="B347" s="100"/>
      <c r="H347"/>
    </row>
    <row r="348" spans="2:8" x14ac:dyDescent="0.3">
      <c r="B348" s="100"/>
      <c r="H348"/>
    </row>
    <row r="349" spans="2:8" x14ac:dyDescent="0.3">
      <c r="B349" s="100"/>
      <c r="H349"/>
    </row>
    <row r="350" spans="2:8" x14ac:dyDescent="0.3">
      <c r="B350" s="100"/>
      <c r="H350"/>
    </row>
    <row r="351" spans="2:8" x14ac:dyDescent="0.3">
      <c r="B351" s="100"/>
      <c r="H351"/>
    </row>
    <row r="352" spans="2:8" x14ac:dyDescent="0.3">
      <c r="B352" s="100"/>
      <c r="H352"/>
    </row>
    <row r="353" spans="2:8" x14ac:dyDescent="0.3">
      <c r="B353" s="100"/>
      <c r="H353"/>
    </row>
    <row r="354" spans="2:8" x14ac:dyDescent="0.3">
      <c r="B354" s="100"/>
      <c r="H354"/>
    </row>
    <row r="355" spans="2:8" x14ac:dyDescent="0.3">
      <c r="B355" s="100"/>
      <c r="H355"/>
    </row>
    <row r="356" spans="2:8" x14ac:dyDescent="0.3">
      <c r="B356" s="100"/>
      <c r="H356"/>
    </row>
    <row r="357" spans="2:8" x14ac:dyDescent="0.3">
      <c r="B357" s="100"/>
      <c r="H357"/>
    </row>
    <row r="358" spans="2:8" x14ac:dyDescent="0.3">
      <c r="B358" s="100"/>
      <c r="H358"/>
    </row>
    <row r="359" spans="2:8" x14ac:dyDescent="0.3">
      <c r="B359" s="100"/>
      <c r="H359"/>
    </row>
    <row r="360" spans="2:8" x14ac:dyDescent="0.3">
      <c r="B360" s="100"/>
      <c r="H360"/>
    </row>
    <row r="361" spans="2:8" x14ac:dyDescent="0.3">
      <c r="B361" s="100"/>
      <c r="H361"/>
    </row>
    <row r="362" spans="2:8" x14ac:dyDescent="0.3">
      <c r="B362" s="100"/>
      <c r="H362"/>
    </row>
    <row r="363" spans="2:8" x14ac:dyDescent="0.3">
      <c r="B363" s="100"/>
      <c r="H363"/>
    </row>
    <row r="364" spans="2:8" x14ac:dyDescent="0.3">
      <c r="B364" s="100"/>
      <c r="H364"/>
    </row>
    <row r="365" spans="2:8" x14ac:dyDescent="0.3">
      <c r="B365" s="100"/>
      <c r="H365"/>
    </row>
    <row r="366" spans="2:8" x14ac:dyDescent="0.3">
      <c r="B366" s="100"/>
      <c r="H366"/>
    </row>
    <row r="367" spans="2:8" x14ac:dyDescent="0.3">
      <c r="B367" s="100"/>
      <c r="H367"/>
    </row>
    <row r="368" spans="2:8" x14ac:dyDescent="0.3">
      <c r="B368" s="100"/>
      <c r="H368"/>
    </row>
    <row r="369" spans="2:8" x14ac:dyDescent="0.3">
      <c r="B369" s="100"/>
      <c r="H369"/>
    </row>
    <row r="370" spans="2:8" x14ac:dyDescent="0.3">
      <c r="B370" s="100"/>
      <c r="H370"/>
    </row>
    <row r="371" spans="2:8" x14ac:dyDescent="0.3">
      <c r="B371" s="100"/>
      <c r="H371"/>
    </row>
    <row r="372" spans="2:8" x14ac:dyDescent="0.3">
      <c r="B372" s="100"/>
      <c r="H372"/>
    </row>
    <row r="373" spans="2:8" x14ac:dyDescent="0.3">
      <c r="B373" s="100"/>
      <c r="H373"/>
    </row>
    <row r="374" spans="2:8" x14ac:dyDescent="0.3">
      <c r="B374" s="100"/>
      <c r="H374"/>
    </row>
    <row r="375" spans="2:8" x14ac:dyDescent="0.3">
      <c r="B375" s="100"/>
      <c r="H375"/>
    </row>
    <row r="376" spans="2:8" x14ac:dyDescent="0.3">
      <c r="B376" s="100"/>
      <c r="H376"/>
    </row>
    <row r="377" spans="2:8" x14ac:dyDescent="0.3">
      <c r="B377" s="100"/>
      <c r="H377"/>
    </row>
    <row r="378" spans="2:8" x14ac:dyDescent="0.3">
      <c r="B378" s="100"/>
      <c r="H378"/>
    </row>
    <row r="379" spans="2:8" x14ac:dyDescent="0.3">
      <c r="B379" s="100"/>
      <c r="H379"/>
    </row>
    <row r="380" spans="2:8" x14ac:dyDescent="0.3">
      <c r="B380" s="100"/>
      <c r="H380"/>
    </row>
    <row r="381" spans="2:8" x14ac:dyDescent="0.3">
      <c r="B381" s="100"/>
      <c r="H381"/>
    </row>
    <row r="382" spans="2:8" x14ac:dyDescent="0.3">
      <c r="B382" s="100"/>
      <c r="H382"/>
    </row>
    <row r="383" spans="2:8" x14ac:dyDescent="0.3">
      <c r="B383" s="100"/>
      <c r="H383"/>
    </row>
    <row r="384" spans="2:8" x14ac:dyDescent="0.3">
      <c r="B384" s="100"/>
      <c r="H384"/>
    </row>
    <row r="385" spans="2:8" x14ac:dyDescent="0.3">
      <c r="B385" s="100"/>
      <c r="H385"/>
    </row>
    <row r="386" spans="2:8" x14ac:dyDescent="0.3">
      <c r="B386" s="100"/>
      <c r="H386"/>
    </row>
    <row r="387" spans="2:8" x14ac:dyDescent="0.3">
      <c r="B387" s="100"/>
      <c r="H387"/>
    </row>
    <row r="388" spans="2:8" x14ac:dyDescent="0.3">
      <c r="B388" s="100"/>
      <c r="H388"/>
    </row>
    <row r="389" spans="2:8" x14ac:dyDescent="0.3">
      <c r="B389" s="100"/>
      <c r="H389"/>
    </row>
    <row r="390" spans="2:8" x14ac:dyDescent="0.3">
      <c r="B390" s="100"/>
      <c r="H390"/>
    </row>
    <row r="391" spans="2:8" x14ac:dyDescent="0.3">
      <c r="B391" s="100"/>
      <c r="H391"/>
    </row>
    <row r="392" spans="2:8" x14ac:dyDescent="0.3">
      <c r="B392" s="100"/>
      <c r="H392"/>
    </row>
    <row r="393" spans="2:8" x14ac:dyDescent="0.3">
      <c r="B393" s="100"/>
      <c r="H393"/>
    </row>
    <row r="394" spans="2:8" x14ac:dyDescent="0.3">
      <c r="B394" s="100"/>
      <c r="H394"/>
    </row>
    <row r="395" spans="2:8" x14ac:dyDescent="0.3">
      <c r="B395" s="100"/>
      <c r="H395"/>
    </row>
    <row r="396" spans="2:8" x14ac:dyDescent="0.3">
      <c r="B396" s="100"/>
      <c r="H396"/>
    </row>
    <row r="397" spans="2:8" x14ac:dyDescent="0.3">
      <c r="B397" s="100"/>
      <c r="H397"/>
    </row>
    <row r="398" spans="2:8" x14ac:dyDescent="0.3">
      <c r="B398" s="100"/>
      <c r="H398"/>
    </row>
    <row r="399" spans="2:8" x14ac:dyDescent="0.3">
      <c r="B399" s="100"/>
      <c r="H399"/>
    </row>
    <row r="400" spans="2:8" x14ac:dyDescent="0.3">
      <c r="B400" s="100"/>
      <c r="H400"/>
    </row>
    <row r="401" spans="2:8" x14ac:dyDescent="0.3">
      <c r="B401" s="100"/>
      <c r="H401"/>
    </row>
    <row r="402" spans="2:8" x14ac:dyDescent="0.3">
      <c r="B402" s="100"/>
      <c r="H402"/>
    </row>
    <row r="403" spans="2:8" x14ac:dyDescent="0.3">
      <c r="B403" s="100"/>
      <c r="H403"/>
    </row>
    <row r="404" spans="2:8" x14ac:dyDescent="0.3">
      <c r="B404" s="100"/>
      <c r="H404"/>
    </row>
    <row r="405" spans="2:8" x14ac:dyDescent="0.3">
      <c r="B405" s="100"/>
      <c r="H405"/>
    </row>
    <row r="406" spans="2:8" x14ac:dyDescent="0.3">
      <c r="B406" s="100"/>
      <c r="H406"/>
    </row>
    <row r="407" spans="2:8" x14ac:dyDescent="0.3">
      <c r="B407" s="100"/>
      <c r="H407"/>
    </row>
    <row r="408" spans="2:8" x14ac:dyDescent="0.3">
      <c r="B408" s="100"/>
      <c r="H408"/>
    </row>
    <row r="409" spans="2:8" x14ac:dyDescent="0.3">
      <c r="B409" s="100"/>
      <c r="H409"/>
    </row>
    <row r="410" spans="2:8" x14ac:dyDescent="0.3">
      <c r="B410" s="100"/>
      <c r="H410"/>
    </row>
    <row r="411" spans="2:8" x14ac:dyDescent="0.3">
      <c r="B411" s="100"/>
      <c r="H411"/>
    </row>
    <row r="412" spans="2:8" x14ac:dyDescent="0.3">
      <c r="B412" s="100"/>
      <c r="H412"/>
    </row>
    <row r="413" spans="2:8" x14ac:dyDescent="0.3">
      <c r="B413" s="100"/>
      <c r="H413"/>
    </row>
    <row r="414" spans="2:8" x14ac:dyDescent="0.3">
      <c r="B414" s="100"/>
      <c r="H414"/>
    </row>
    <row r="415" spans="2:8" x14ac:dyDescent="0.3">
      <c r="B415" s="100"/>
      <c r="H415"/>
    </row>
    <row r="416" spans="2:8" x14ac:dyDescent="0.3">
      <c r="B416" s="100"/>
      <c r="H416"/>
    </row>
    <row r="417" spans="2:8" x14ac:dyDescent="0.3">
      <c r="B417" s="100"/>
      <c r="H417"/>
    </row>
    <row r="418" spans="2:8" x14ac:dyDescent="0.3">
      <c r="B418" s="100"/>
      <c r="H418"/>
    </row>
    <row r="419" spans="2:8" x14ac:dyDescent="0.3">
      <c r="B419" s="100"/>
      <c r="H419"/>
    </row>
    <row r="420" spans="2:8" x14ac:dyDescent="0.3">
      <c r="B420" s="100"/>
      <c r="H420"/>
    </row>
    <row r="421" spans="2:8" x14ac:dyDescent="0.3">
      <c r="B421" s="100"/>
      <c r="H421"/>
    </row>
    <row r="422" spans="2:8" x14ac:dyDescent="0.3">
      <c r="B422" s="100"/>
      <c r="H422"/>
    </row>
    <row r="423" spans="2:8" x14ac:dyDescent="0.3">
      <c r="B423" s="100"/>
      <c r="H423"/>
    </row>
    <row r="424" spans="2:8" x14ac:dyDescent="0.3">
      <c r="B424" s="100"/>
      <c r="H424"/>
    </row>
    <row r="425" spans="2:8" x14ac:dyDescent="0.3">
      <c r="B425" s="100"/>
      <c r="H425"/>
    </row>
    <row r="426" spans="2:8" x14ac:dyDescent="0.3">
      <c r="B426" s="100"/>
      <c r="H426"/>
    </row>
    <row r="427" spans="2:8" x14ac:dyDescent="0.3">
      <c r="B427" s="100"/>
      <c r="H427"/>
    </row>
    <row r="428" spans="2:8" x14ac:dyDescent="0.3">
      <c r="B428" s="100"/>
      <c r="H428"/>
    </row>
    <row r="429" spans="2:8" x14ac:dyDescent="0.3">
      <c r="B429" s="100"/>
      <c r="H429"/>
    </row>
    <row r="430" spans="2:8" x14ac:dyDescent="0.3">
      <c r="B430" s="100"/>
      <c r="H430"/>
    </row>
    <row r="431" spans="2:8" x14ac:dyDescent="0.3">
      <c r="B431" s="100"/>
      <c r="H431"/>
    </row>
    <row r="432" spans="2:8" x14ac:dyDescent="0.3">
      <c r="B432" s="100"/>
      <c r="H432"/>
    </row>
    <row r="433" spans="2:8" x14ac:dyDescent="0.3">
      <c r="B433" s="100"/>
      <c r="H433"/>
    </row>
    <row r="434" spans="2:8" x14ac:dyDescent="0.3">
      <c r="B434" s="100"/>
      <c r="H434"/>
    </row>
    <row r="435" spans="2:8" x14ac:dyDescent="0.3">
      <c r="B435" s="100"/>
      <c r="H435"/>
    </row>
    <row r="436" spans="2:8" x14ac:dyDescent="0.3">
      <c r="B436" s="100"/>
      <c r="H436"/>
    </row>
    <row r="437" spans="2:8" x14ac:dyDescent="0.3">
      <c r="B437" s="100"/>
      <c r="H437"/>
    </row>
    <row r="438" spans="2:8" x14ac:dyDescent="0.3">
      <c r="B438" s="100"/>
      <c r="H438"/>
    </row>
    <row r="439" spans="2:8" x14ac:dyDescent="0.3">
      <c r="B439" s="100"/>
      <c r="H439"/>
    </row>
    <row r="440" spans="2:8" x14ac:dyDescent="0.3">
      <c r="B440" s="100"/>
      <c r="H440"/>
    </row>
    <row r="441" spans="2:8" x14ac:dyDescent="0.3">
      <c r="B441" s="100"/>
      <c r="H441"/>
    </row>
    <row r="442" spans="2:8" x14ac:dyDescent="0.3">
      <c r="B442" s="100"/>
      <c r="H442"/>
    </row>
    <row r="443" spans="2:8" x14ac:dyDescent="0.3">
      <c r="B443" s="100"/>
      <c r="H443"/>
    </row>
    <row r="444" spans="2:8" x14ac:dyDescent="0.3">
      <c r="B444" s="100"/>
      <c r="H444"/>
    </row>
    <row r="445" spans="2:8" x14ac:dyDescent="0.3">
      <c r="B445" s="100"/>
      <c r="H445"/>
    </row>
    <row r="446" spans="2:8" x14ac:dyDescent="0.3">
      <c r="B446" s="100"/>
      <c r="H446"/>
    </row>
    <row r="447" spans="2:8" x14ac:dyDescent="0.3">
      <c r="B447" s="100"/>
      <c r="H447"/>
    </row>
    <row r="448" spans="2:8" x14ac:dyDescent="0.3">
      <c r="B448" s="100"/>
      <c r="H448"/>
    </row>
    <row r="449" spans="2:8" x14ac:dyDescent="0.3">
      <c r="B449" s="100"/>
      <c r="H449"/>
    </row>
    <row r="450" spans="2:8" x14ac:dyDescent="0.3">
      <c r="B450" s="100"/>
      <c r="H450"/>
    </row>
    <row r="451" spans="2:8" x14ac:dyDescent="0.3">
      <c r="B451" s="100"/>
      <c r="H451"/>
    </row>
    <row r="452" spans="2:8" x14ac:dyDescent="0.3">
      <c r="B452" s="100"/>
      <c r="H452"/>
    </row>
    <row r="453" spans="2:8" x14ac:dyDescent="0.3">
      <c r="B453" s="100"/>
      <c r="H453"/>
    </row>
    <row r="454" spans="2:8" x14ac:dyDescent="0.3">
      <c r="B454" s="100"/>
      <c r="H454"/>
    </row>
    <row r="455" spans="2:8" x14ac:dyDescent="0.3">
      <c r="B455" s="100"/>
      <c r="H455"/>
    </row>
    <row r="456" spans="2:8" x14ac:dyDescent="0.3">
      <c r="B456" s="100"/>
      <c r="H456"/>
    </row>
    <row r="457" spans="2:8" x14ac:dyDescent="0.3">
      <c r="B457" s="100"/>
      <c r="H457"/>
    </row>
    <row r="458" spans="2:8" x14ac:dyDescent="0.3">
      <c r="B458" s="100"/>
      <c r="H458"/>
    </row>
    <row r="459" spans="2:8" x14ac:dyDescent="0.3">
      <c r="B459" s="100"/>
      <c r="H459"/>
    </row>
    <row r="460" spans="2:8" x14ac:dyDescent="0.3">
      <c r="B460" s="100"/>
      <c r="H460"/>
    </row>
    <row r="461" spans="2:8" x14ac:dyDescent="0.3">
      <c r="B461" s="100"/>
      <c r="H461"/>
    </row>
    <row r="462" spans="2:8" x14ac:dyDescent="0.3">
      <c r="B462" s="100"/>
      <c r="H462"/>
    </row>
    <row r="463" spans="2:8" x14ac:dyDescent="0.3">
      <c r="B463" s="100"/>
      <c r="H463"/>
    </row>
    <row r="464" spans="2:8" x14ac:dyDescent="0.3">
      <c r="B464" s="100"/>
      <c r="H464"/>
    </row>
    <row r="465" spans="2:8" x14ac:dyDescent="0.3">
      <c r="B465" s="100"/>
      <c r="H465"/>
    </row>
    <row r="466" spans="2:8" x14ac:dyDescent="0.3">
      <c r="B466" s="100"/>
      <c r="H466"/>
    </row>
    <row r="467" spans="2:8" x14ac:dyDescent="0.3">
      <c r="B467" s="100"/>
      <c r="H467"/>
    </row>
    <row r="468" spans="2:8" x14ac:dyDescent="0.3">
      <c r="B468" s="100"/>
      <c r="H468"/>
    </row>
    <row r="469" spans="2:8" x14ac:dyDescent="0.3">
      <c r="B469" s="100"/>
      <c r="H469"/>
    </row>
    <row r="470" spans="2:8" x14ac:dyDescent="0.3">
      <c r="B470" s="100"/>
      <c r="H470"/>
    </row>
    <row r="471" spans="2:8" x14ac:dyDescent="0.3">
      <c r="B471" s="100"/>
      <c r="H471"/>
    </row>
    <row r="472" spans="2:8" x14ac:dyDescent="0.3">
      <c r="B472" s="100"/>
      <c r="H472"/>
    </row>
    <row r="473" spans="2:8" x14ac:dyDescent="0.3">
      <c r="B473" s="100"/>
      <c r="H473"/>
    </row>
    <row r="474" spans="2:8" x14ac:dyDescent="0.3">
      <c r="B474" s="100"/>
      <c r="H474"/>
    </row>
    <row r="475" spans="2:8" x14ac:dyDescent="0.3">
      <c r="B475" s="100"/>
      <c r="H475"/>
    </row>
    <row r="476" spans="2:8" x14ac:dyDescent="0.3">
      <c r="B476" s="100"/>
      <c r="H476"/>
    </row>
    <row r="477" spans="2:8" x14ac:dyDescent="0.3">
      <c r="B477" s="100"/>
      <c r="H477"/>
    </row>
    <row r="478" spans="2:8" x14ac:dyDescent="0.3">
      <c r="B478" s="100"/>
      <c r="H478"/>
    </row>
    <row r="479" spans="2:8" x14ac:dyDescent="0.3">
      <c r="B479" s="100"/>
      <c r="H479"/>
    </row>
    <row r="480" spans="2:8" x14ac:dyDescent="0.3">
      <c r="B480" s="100"/>
      <c r="H480"/>
    </row>
    <row r="481" spans="2:8" x14ac:dyDescent="0.3">
      <c r="B481" s="100"/>
      <c r="H481"/>
    </row>
    <row r="482" spans="2:8" x14ac:dyDescent="0.3">
      <c r="B482" s="100"/>
      <c r="H482"/>
    </row>
    <row r="483" spans="2:8" x14ac:dyDescent="0.3">
      <c r="B483" s="100"/>
      <c r="H483"/>
    </row>
    <row r="484" spans="2:8" x14ac:dyDescent="0.3">
      <c r="B484" s="100"/>
      <c r="H484"/>
    </row>
    <row r="485" spans="2:8" x14ac:dyDescent="0.3">
      <c r="B485" s="100"/>
      <c r="H485"/>
    </row>
    <row r="486" spans="2:8" x14ac:dyDescent="0.3">
      <c r="B486" s="100"/>
      <c r="H486"/>
    </row>
    <row r="487" spans="2:8" x14ac:dyDescent="0.3">
      <c r="B487" s="100"/>
      <c r="H487"/>
    </row>
    <row r="488" spans="2:8" x14ac:dyDescent="0.3">
      <c r="B488" s="100"/>
      <c r="H488"/>
    </row>
    <row r="489" spans="2:8" x14ac:dyDescent="0.3">
      <c r="B489" s="100"/>
      <c r="H489"/>
    </row>
    <row r="490" spans="2:8" x14ac:dyDescent="0.3">
      <c r="B490" s="100"/>
      <c r="H490"/>
    </row>
    <row r="491" spans="2:8" x14ac:dyDescent="0.3">
      <c r="B491" s="100"/>
      <c r="H491"/>
    </row>
    <row r="492" spans="2:8" x14ac:dyDescent="0.3">
      <c r="B492" s="100"/>
      <c r="H492"/>
    </row>
    <row r="493" spans="2:8" x14ac:dyDescent="0.3">
      <c r="B493" s="100"/>
      <c r="H493"/>
    </row>
    <row r="494" spans="2:8" x14ac:dyDescent="0.3">
      <c r="B494" s="100"/>
      <c r="H494"/>
    </row>
    <row r="495" spans="2:8" x14ac:dyDescent="0.3">
      <c r="B495" s="100"/>
      <c r="H495"/>
    </row>
    <row r="496" spans="2:8" x14ac:dyDescent="0.3">
      <c r="B496" s="100"/>
      <c r="H496"/>
    </row>
    <row r="497" spans="2:8" x14ac:dyDescent="0.3">
      <c r="B497" s="100"/>
      <c r="H497"/>
    </row>
    <row r="498" spans="2:8" x14ac:dyDescent="0.3">
      <c r="B498" s="100"/>
      <c r="H498"/>
    </row>
    <row r="499" spans="2:8" x14ac:dyDescent="0.3">
      <c r="B499" s="100"/>
      <c r="H499"/>
    </row>
    <row r="500" spans="2:8" x14ac:dyDescent="0.3">
      <c r="B500" s="100"/>
      <c r="H50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08EA3-9166-45FC-BF06-41430C243460}">
  <dimension ref="A1:I696"/>
  <sheetViews>
    <sheetView tabSelected="1" zoomScaleNormal="100" workbookViewId="0">
      <pane ySplit="1" topLeftCell="A71" activePane="bottomLeft" state="frozen"/>
      <selection pane="bottomLeft" activeCell="C82" sqref="C82"/>
    </sheetView>
  </sheetViews>
  <sheetFormatPr defaultRowHeight="14.4" x14ac:dyDescent="0.3"/>
  <cols>
    <col min="1" max="1" width="4.5546875" bestFit="1" customWidth="1"/>
    <col min="2" max="2" width="11.6640625" style="101" customWidth="1"/>
    <col min="3" max="3" width="25.44140625" customWidth="1"/>
    <col min="4" max="4" width="73" customWidth="1"/>
    <col min="5" max="5" width="108.109375" customWidth="1"/>
    <col min="6" max="6" width="30.6640625" customWidth="1"/>
    <col min="7" max="7" width="41.88671875" customWidth="1"/>
    <col min="8" max="8" width="9.109375" style="7" customWidth="1"/>
  </cols>
  <sheetData>
    <row r="1" spans="1:9" x14ac:dyDescent="0.3">
      <c r="A1" s="84" t="s">
        <v>4574</v>
      </c>
      <c r="B1" s="99" t="s">
        <v>3836</v>
      </c>
      <c r="C1" s="4" t="str">
        <f>"Additions ("&amp;COUNTA(C2:C83)&amp;")"</f>
        <v>Additions (81)</v>
      </c>
      <c r="D1" s="5" t="s">
        <v>28</v>
      </c>
      <c r="E1" s="6" t="s">
        <v>29</v>
      </c>
      <c r="F1" s="5" t="s">
        <v>30</v>
      </c>
      <c r="G1" s="5" t="s">
        <v>31</v>
      </c>
    </row>
    <row r="2" spans="1:9" s="38" customFormat="1" x14ac:dyDescent="0.3">
      <c r="A2" t="s">
        <v>4567</v>
      </c>
      <c r="B2" s="97">
        <v>43165</v>
      </c>
      <c r="C2" s="38" t="s">
        <v>4133</v>
      </c>
      <c r="D2" s="38" t="s">
        <v>4239</v>
      </c>
      <c r="E2" s="69" t="s">
        <v>4240</v>
      </c>
      <c r="F2" s="69" t="s">
        <v>4241</v>
      </c>
      <c r="G2" s="7" t="s">
        <v>1260</v>
      </c>
      <c r="H2" s="7"/>
      <c r="I2" s="7"/>
    </row>
    <row r="3" spans="1:9" s="38" customFormat="1" x14ac:dyDescent="0.3">
      <c r="A3" t="s">
        <v>4567</v>
      </c>
      <c r="B3" s="97">
        <v>43165</v>
      </c>
      <c r="C3" s="38" t="s">
        <v>4132</v>
      </c>
      <c r="D3" s="38" t="s">
        <v>4242</v>
      </c>
      <c r="E3" s="69" t="s">
        <v>4240</v>
      </c>
      <c r="F3" s="69" t="s">
        <v>4241</v>
      </c>
      <c r="G3" s="7" t="s">
        <v>1260</v>
      </c>
      <c r="H3" s="7"/>
      <c r="I3" s="7"/>
    </row>
    <row r="4" spans="1:9" s="38" customFormat="1" x14ac:dyDescent="0.3">
      <c r="A4" t="s">
        <v>4567</v>
      </c>
      <c r="B4" s="97">
        <v>43165</v>
      </c>
      <c r="C4" s="38" t="s">
        <v>4134</v>
      </c>
      <c r="D4" s="38" t="s">
        <v>4135</v>
      </c>
      <c r="E4" s="69" t="s">
        <v>4243</v>
      </c>
      <c r="F4" s="69" t="s">
        <v>3313</v>
      </c>
      <c r="G4" s="7" t="s">
        <v>4244</v>
      </c>
      <c r="H4" s="7"/>
      <c r="I4" s="7"/>
    </row>
    <row r="5" spans="1:9" s="38" customFormat="1" x14ac:dyDescent="0.3">
      <c r="A5" t="s">
        <v>4567</v>
      </c>
      <c r="B5" s="97">
        <v>43165</v>
      </c>
      <c r="C5" s="38" t="s">
        <v>4138</v>
      </c>
      <c r="D5" s="38" t="s">
        <v>4139</v>
      </c>
      <c r="E5" s="69" t="s">
        <v>4245</v>
      </c>
      <c r="F5" s="69" t="s">
        <v>3979</v>
      </c>
      <c r="G5" s="7" t="s">
        <v>427</v>
      </c>
      <c r="H5" s="7"/>
      <c r="I5" s="7"/>
    </row>
    <row r="6" spans="1:9" s="38" customFormat="1" x14ac:dyDescent="0.3">
      <c r="A6" t="s">
        <v>4567</v>
      </c>
      <c r="B6" s="97">
        <v>43165</v>
      </c>
      <c r="C6" s="38" t="s">
        <v>4140</v>
      </c>
      <c r="D6" s="38" t="s">
        <v>4141</v>
      </c>
      <c r="E6" s="69" t="s">
        <v>4245</v>
      </c>
      <c r="F6" s="69" t="s">
        <v>3979</v>
      </c>
      <c r="G6" s="7" t="s">
        <v>427</v>
      </c>
      <c r="H6" s="7"/>
      <c r="I6" s="7"/>
    </row>
    <row r="7" spans="1:9" s="38" customFormat="1" x14ac:dyDescent="0.3">
      <c r="A7" t="s">
        <v>4567</v>
      </c>
      <c r="B7" s="97">
        <v>43165</v>
      </c>
      <c r="C7" s="38" t="s">
        <v>4136</v>
      </c>
      <c r="D7" s="38" t="s">
        <v>4166</v>
      </c>
      <c r="E7" s="69" t="s">
        <v>4245</v>
      </c>
      <c r="F7" s="69" t="s">
        <v>3979</v>
      </c>
      <c r="G7" s="7" t="s">
        <v>427</v>
      </c>
      <c r="H7" s="7"/>
      <c r="I7" s="7"/>
    </row>
    <row r="8" spans="1:9" s="38" customFormat="1" x14ac:dyDescent="0.3">
      <c r="A8" t="s">
        <v>4567</v>
      </c>
      <c r="B8" s="97">
        <v>43173</v>
      </c>
      <c r="C8" s="38" t="s">
        <v>4143</v>
      </c>
      <c r="D8" s="38" t="s">
        <v>4144</v>
      </c>
      <c r="E8" s="69"/>
      <c r="F8" s="69"/>
      <c r="G8" s="7" t="s">
        <v>4145</v>
      </c>
      <c r="H8" s="7"/>
      <c r="I8" s="7"/>
    </row>
    <row r="9" spans="1:9" s="38" customFormat="1" x14ac:dyDescent="0.3">
      <c r="A9" t="s">
        <v>4567</v>
      </c>
      <c r="B9" s="97">
        <v>43173</v>
      </c>
      <c r="C9" s="38" t="s">
        <v>4146</v>
      </c>
      <c r="D9" s="38" t="s">
        <v>4147</v>
      </c>
      <c r="E9" s="69"/>
      <c r="F9" s="69"/>
      <c r="G9" s="7" t="s">
        <v>4145</v>
      </c>
      <c r="H9" s="7"/>
      <c r="I9" s="7"/>
    </row>
    <row r="10" spans="1:9" s="38" customFormat="1" x14ac:dyDescent="0.3">
      <c r="A10" t="s">
        <v>4567</v>
      </c>
      <c r="B10" s="97">
        <v>43187</v>
      </c>
      <c r="C10" s="38" t="s">
        <v>4168</v>
      </c>
      <c r="D10" s="38" t="s">
        <v>4169</v>
      </c>
      <c r="E10" s="69"/>
      <c r="F10" s="69"/>
      <c r="G10" s="7" t="s">
        <v>4170</v>
      </c>
      <c r="H10" s="7"/>
      <c r="I10" s="7"/>
    </row>
    <row r="11" spans="1:9" s="38" customFormat="1" x14ac:dyDescent="0.3">
      <c r="A11" t="s">
        <v>4567</v>
      </c>
      <c r="B11" s="97">
        <v>43187</v>
      </c>
      <c r="C11" s="38" t="s">
        <v>4171</v>
      </c>
      <c r="D11" s="38" t="s">
        <v>4172</v>
      </c>
      <c r="E11" s="69" t="s">
        <v>4173</v>
      </c>
      <c r="F11" s="69" t="s">
        <v>4174</v>
      </c>
      <c r="G11" s="7" t="s">
        <v>385</v>
      </c>
      <c r="H11" s="7"/>
      <c r="I11" s="7"/>
    </row>
    <row r="12" spans="1:9" s="38" customFormat="1" x14ac:dyDescent="0.3">
      <c r="A12" t="s">
        <v>4567</v>
      </c>
      <c r="B12" s="97">
        <v>43187</v>
      </c>
      <c r="C12" s="38" t="s">
        <v>4175</v>
      </c>
      <c r="D12" s="38" t="s">
        <v>4176</v>
      </c>
      <c r="E12" s="69" t="s">
        <v>4177</v>
      </c>
      <c r="F12" s="69" t="s">
        <v>4174</v>
      </c>
      <c r="G12" s="7" t="s">
        <v>385</v>
      </c>
      <c r="H12" s="7"/>
      <c r="I12" s="7"/>
    </row>
    <row r="13" spans="1:9" s="38" customFormat="1" x14ac:dyDescent="0.3">
      <c r="A13" t="s">
        <v>4567</v>
      </c>
      <c r="B13" s="97">
        <v>43187</v>
      </c>
      <c r="C13" s="38" t="s">
        <v>4178</v>
      </c>
      <c r="D13" s="38" t="s">
        <v>4179</v>
      </c>
      <c r="E13" s="69" t="s">
        <v>4180</v>
      </c>
      <c r="F13" s="69" t="s">
        <v>4174</v>
      </c>
      <c r="G13" s="7" t="s">
        <v>385</v>
      </c>
      <c r="H13" s="7"/>
      <c r="I13" s="7"/>
    </row>
    <row r="14" spans="1:9" s="38" customFormat="1" x14ac:dyDescent="0.3">
      <c r="A14" t="s">
        <v>4567</v>
      </c>
      <c r="B14" s="97">
        <v>43187</v>
      </c>
      <c r="C14" s="38" t="s">
        <v>4181</v>
      </c>
      <c r="D14" s="38" t="s">
        <v>4182</v>
      </c>
      <c r="E14" s="69" t="s">
        <v>4246</v>
      </c>
      <c r="F14" s="69" t="s">
        <v>4247</v>
      </c>
      <c r="G14" s="7" t="s">
        <v>3668</v>
      </c>
      <c r="H14" s="7"/>
      <c r="I14" s="7"/>
    </row>
    <row r="15" spans="1:9" s="38" customFormat="1" x14ac:dyDescent="0.3">
      <c r="A15" t="s">
        <v>4567</v>
      </c>
      <c r="B15" s="97">
        <v>43187</v>
      </c>
      <c r="C15" s="38" t="s">
        <v>4183</v>
      </c>
      <c r="D15" s="38" t="s">
        <v>4184</v>
      </c>
      <c r="E15" s="69" t="s">
        <v>4248</v>
      </c>
      <c r="F15" s="69" t="s">
        <v>4247</v>
      </c>
      <c r="G15" s="7" t="s">
        <v>3668</v>
      </c>
      <c r="H15" s="7"/>
      <c r="I15" s="7"/>
    </row>
    <row r="16" spans="1:9" s="38" customFormat="1" x14ac:dyDescent="0.3">
      <c r="A16" t="s">
        <v>4567</v>
      </c>
      <c r="B16" s="97">
        <v>43187</v>
      </c>
      <c r="C16" s="38" t="s">
        <v>4185</v>
      </c>
      <c r="D16" s="38" t="s">
        <v>4186</v>
      </c>
      <c r="E16" s="69" t="s">
        <v>4249</v>
      </c>
      <c r="F16" s="69" t="s">
        <v>4247</v>
      </c>
      <c r="G16" s="7" t="s">
        <v>3668</v>
      </c>
      <c r="H16" s="7"/>
      <c r="I16" s="7"/>
    </row>
    <row r="17" spans="1:9" s="38" customFormat="1" x14ac:dyDescent="0.3">
      <c r="A17" t="s">
        <v>4567</v>
      </c>
      <c r="B17" s="97">
        <v>43187</v>
      </c>
      <c r="C17" s="38" t="s">
        <v>4187</v>
      </c>
      <c r="D17" s="38" t="s">
        <v>4188</v>
      </c>
      <c r="E17" s="69" t="s">
        <v>4258</v>
      </c>
      <c r="F17" s="69" t="s">
        <v>4247</v>
      </c>
      <c r="G17" s="7" t="s">
        <v>3668</v>
      </c>
      <c r="H17" s="7"/>
      <c r="I17" s="7"/>
    </row>
    <row r="18" spans="1:9" s="38" customFormat="1" x14ac:dyDescent="0.3">
      <c r="A18" t="s">
        <v>4567</v>
      </c>
      <c r="B18" s="97">
        <v>43187</v>
      </c>
      <c r="C18" s="38" t="s">
        <v>4189</v>
      </c>
      <c r="D18" s="38" t="s">
        <v>4190</v>
      </c>
      <c r="E18" s="69" t="s">
        <v>4259</v>
      </c>
      <c r="F18" s="69" t="s">
        <v>4247</v>
      </c>
      <c r="G18" s="7" t="s">
        <v>3668</v>
      </c>
      <c r="H18" s="7"/>
      <c r="I18" s="7"/>
    </row>
    <row r="19" spans="1:9" s="38" customFormat="1" x14ac:dyDescent="0.3">
      <c r="A19" t="s">
        <v>4567</v>
      </c>
      <c r="B19" s="97">
        <v>43187</v>
      </c>
      <c r="C19" s="38" t="s">
        <v>4191</v>
      </c>
      <c r="D19" s="38" t="s">
        <v>4192</v>
      </c>
      <c r="E19" s="69" t="s">
        <v>4260</v>
      </c>
      <c r="F19" s="69" t="s">
        <v>4247</v>
      </c>
      <c r="G19" s="7" t="s">
        <v>3668</v>
      </c>
      <c r="H19" s="7"/>
      <c r="I19" s="7"/>
    </row>
    <row r="20" spans="1:9" s="38" customFormat="1" x14ac:dyDescent="0.3">
      <c r="A20" t="s">
        <v>4567</v>
      </c>
      <c r="B20" s="97">
        <v>43187</v>
      </c>
      <c r="C20" s="38" t="s">
        <v>4193</v>
      </c>
      <c r="D20" s="38" t="s">
        <v>4194</v>
      </c>
      <c r="E20" s="69" t="s">
        <v>4250</v>
      </c>
      <c r="F20" s="69" t="s">
        <v>4247</v>
      </c>
      <c r="G20" s="7" t="s">
        <v>3668</v>
      </c>
      <c r="H20" s="7"/>
      <c r="I20" s="7"/>
    </row>
    <row r="21" spans="1:9" s="38" customFormat="1" x14ac:dyDescent="0.3">
      <c r="A21" t="s">
        <v>4567</v>
      </c>
      <c r="B21" s="97">
        <v>43187</v>
      </c>
      <c r="C21" s="38" t="s">
        <v>4197</v>
      </c>
      <c r="D21" s="38" t="s">
        <v>4198</v>
      </c>
      <c r="E21" s="69" t="s">
        <v>4251</v>
      </c>
      <c r="F21" s="69" t="s">
        <v>4247</v>
      </c>
      <c r="G21" s="7" t="s">
        <v>3668</v>
      </c>
      <c r="H21" s="7"/>
      <c r="I21" s="7"/>
    </row>
    <row r="22" spans="1:9" s="38" customFormat="1" x14ac:dyDescent="0.3">
      <c r="A22" t="s">
        <v>4567</v>
      </c>
      <c r="B22" s="97">
        <v>43187</v>
      </c>
      <c r="C22" s="38" t="s">
        <v>4195</v>
      </c>
      <c r="D22" s="38" t="s">
        <v>4196</v>
      </c>
      <c r="E22" s="69" t="s">
        <v>4252</v>
      </c>
      <c r="F22" s="69" t="s">
        <v>4247</v>
      </c>
      <c r="G22" s="7" t="s">
        <v>3668</v>
      </c>
      <c r="H22" s="7"/>
      <c r="I22" s="7"/>
    </row>
    <row r="23" spans="1:9" s="38" customFormat="1" x14ac:dyDescent="0.3">
      <c r="A23" t="s">
        <v>4567</v>
      </c>
      <c r="B23" s="97">
        <v>43187</v>
      </c>
      <c r="C23" s="38" t="s">
        <v>4199</v>
      </c>
      <c r="D23" s="38" t="s">
        <v>4200</v>
      </c>
      <c r="E23" s="69" t="s">
        <v>4253</v>
      </c>
      <c r="F23" s="69" t="s">
        <v>4247</v>
      </c>
      <c r="G23" s="7" t="s">
        <v>3668</v>
      </c>
      <c r="H23" s="7"/>
      <c r="I23" s="7"/>
    </row>
    <row r="24" spans="1:9" s="38" customFormat="1" x14ac:dyDescent="0.3">
      <c r="A24" t="s">
        <v>4567</v>
      </c>
      <c r="B24" s="97">
        <v>43187</v>
      </c>
      <c r="C24" s="38" t="s">
        <v>4201</v>
      </c>
      <c r="D24" s="38" t="s">
        <v>4202</v>
      </c>
      <c r="E24" s="69" t="s">
        <v>4254</v>
      </c>
      <c r="F24" s="69" t="s">
        <v>4247</v>
      </c>
      <c r="G24" s="7" t="s">
        <v>3668</v>
      </c>
      <c r="H24" s="7"/>
      <c r="I24" s="7"/>
    </row>
    <row r="25" spans="1:9" s="38" customFormat="1" x14ac:dyDescent="0.3">
      <c r="A25" t="s">
        <v>4567</v>
      </c>
      <c r="B25" s="97">
        <v>43187</v>
      </c>
      <c r="C25" s="38" t="s">
        <v>4203</v>
      </c>
      <c r="D25" s="38" t="s">
        <v>4204</v>
      </c>
      <c r="E25" s="69" t="s">
        <v>4261</v>
      </c>
      <c r="F25" s="69" t="s">
        <v>4247</v>
      </c>
      <c r="G25" s="7" t="s">
        <v>3668</v>
      </c>
      <c r="H25" s="7"/>
      <c r="I25" s="7"/>
    </row>
    <row r="26" spans="1:9" s="38" customFormat="1" x14ac:dyDescent="0.3">
      <c r="A26" t="s">
        <v>4567</v>
      </c>
      <c r="B26" s="97">
        <v>43187</v>
      </c>
      <c r="C26" s="38" t="s">
        <v>4205</v>
      </c>
      <c r="D26" s="38" t="s">
        <v>4206</v>
      </c>
      <c r="E26" s="69" t="s">
        <v>4262</v>
      </c>
      <c r="F26" s="69" t="s">
        <v>4247</v>
      </c>
      <c r="G26" s="7" t="s">
        <v>3668</v>
      </c>
      <c r="H26" s="7"/>
      <c r="I26" s="7"/>
    </row>
    <row r="27" spans="1:9" s="38" customFormat="1" x14ac:dyDescent="0.3">
      <c r="A27" t="s">
        <v>4567</v>
      </c>
      <c r="B27" s="97">
        <v>43187</v>
      </c>
      <c r="C27" s="38" t="s">
        <v>4207</v>
      </c>
      <c r="D27" s="38" t="s">
        <v>4208</v>
      </c>
      <c r="E27" s="69" t="s">
        <v>4263</v>
      </c>
      <c r="F27" s="69" t="s">
        <v>4247</v>
      </c>
      <c r="G27" s="7" t="s">
        <v>3668</v>
      </c>
      <c r="H27" s="7"/>
      <c r="I27" s="7"/>
    </row>
    <row r="28" spans="1:9" s="38" customFormat="1" x14ac:dyDescent="0.3">
      <c r="A28" t="s">
        <v>4567</v>
      </c>
      <c r="B28" s="97">
        <v>43187</v>
      </c>
      <c r="C28" s="38" t="s">
        <v>4209</v>
      </c>
      <c r="D28" s="38" t="s">
        <v>4210</v>
      </c>
      <c r="E28" s="69" t="s">
        <v>4255</v>
      </c>
      <c r="F28" s="69" t="s">
        <v>4247</v>
      </c>
      <c r="G28" s="7" t="s">
        <v>3668</v>
      </c>
      <c r="H28" s="7"/>
      <c r="I28" s="7"/>
    </row>
    <row r="29" spans="1:9" s="38" customFormat="1" x14ac:dyDescent="0.3">
      <c r="A29" t="s">
        <v>4567</v>
      </c>
      <c r="B29" s="97">
        <v>43187</v>
      </c>
      <c r="C29" s="38" t="s">
        <v>4211</v>
      </c>
      <c r="D29" s="38" t="s">
        <v>4212</v>
      </c>
      <c r="E29" s="69" t="s">
        <v>4256</v>
      </c>
      <c r="F29" s="69" t="s">
        <v>4247</v>
      </c>
      <c r="G29" s="7" t="s">
        <v>3668</v>
      </c>
      <c r="H29" s="7"/>
      <c r="I29" s="7"/>
    </row>
    <row r="30" spans="1:9" s="38" customFormat="1" x14ac:dyDescent="0.3">
      <c r="A30" t="s">
        <v>4567</v>
      </c>
      <c r="B30" s="97">
        <v>43187</v>
      </c>
      <c r="C30" s="38" t="s">
        <v>4213</v>
      </c>
      <c r="D30" s="38" t="s">
        <v>4214</v>
      </c>
      <c r="E30" s="69" t="s">
        <v>4257</v>
      </c>
      <c r="F30" s="69" t="s">
        <v>4247</v>
      </c>
      <c r="G30" s="7" t="s">
        <v>3668</v>
      </c>
      <c r="H30" s="7"/>
      <c r="I30" s="7"/>
    </row>
    <row r="31" spans="1:9" s="38" customFormat="1" x14ac:dyDescent="0.3">
      <c r="A31" t="s">
        <v>4567</v>
      </c>
      <c r="B31" s="97">
        <v>43200</v>
      </c>
      <c r="C31" s="38" t="s">
        <v>4167</v>
      </c>
      <c r="D31" s="38" t="s">
        <v>4075</v>
      </c>
      <c r="E31" s="69" t="s">
        <v>4215</v>
      </c>
      <c r="F31" s="69" t="s">
        <v>4216</v>
      </c>
      <c r="G31" s="7" t="s">
        <v>4217</v>
      </c>
      <c r="H31" s="7"/>
      <c r="I31" s="7"/>
    </row>
    <row r="32" spans="1:9" s="38" customFormat="1" x14ac:dyDescent="0.3">
      <c r="A32" t="s">
        <v>4567</v>
      </c>
      <c r="B32" s="97">
        <v>43200</v>
      </c>
      <c r="C32" s="38" t="s">
        <v>4142</v>
      </c>
      <c r="D32" s="38" t="s">
        <v>4218</v>
      </c>
      <c r="E32" s="69" t="s">
        <v>4219</v>
      </c>
      <c r="F32" s="69" t="s">
        <v>4220</v>
      </c>
      <c r="G32" s="7" t="s">
        <v>4221</v>
      </c>
      <c r="H32" s="7"/>
      <c r="I32" s="7"/>
    </row>
    <row r="33" spans="1:9" s="38" customFormat="1" x14ac:dyDescent="0.3">
      <c r="A33" t="s">
        <v>4567</v>
      </c>
      <c r="B33" s="97">
        <v>43200</v>
      </c>
      <c r="C33" s="38" t="s">
        <v>3374</v>
      </c>
      <c r="D33" s="38" t="s">
        <v>3375</v>
      </c>
      <c r="E33" s="69" t="s">
        <v>4222</v>
      </c>
      <c r="F33" s="69" t="s">
        <v>3066</v>
      </c>
      <c r="G33" s="7" t="s">
        <v>399</v>
      </c>
      <c r="H33" s="7"/>
      <c r="I33" s="7"/>
    </row>
    <row r="34" spans="1:9" s="38" customFormat="1" x14ac:dyDescent="0.3">
      <c r="A34" t="s">
        <v>4567</v>
      </c>
      <c r="B34" s="97">
        <v>43200</v>
      </c>
      <c r="C34" s="38" t="s">
        <v>3372</v>
      </c>
      <c r="D34" s="38" t="s">
        <v>3373</v>
      </c>
      <c r="E34" s="69" t="s">
        <v>4222</v>
      </c>
      <c r="F34" s="69" t="s">
        <v>3066</v>
      </c>
      <c r="G34" s="7" t="s">
        <v>399</v>
      </c>
      <c r="H34" s="7"/>
      <c r="I34" s="7"/>
    </row>
    <row r="35" spans="1:9" s="38" customFormat="1" x14ac:dyDescent="0.3">
      <c r="A35" t="s">
        <v>4567</v>
      </c>
      <c r="B35" s="97">
        <v>43200</v>
      </c>
      <c r="C35" s="38" t="s">
        <v>442</v>
      </c>
      <c r="D35" s="38" t="s">
        <v>1892</v>
      </c>
      <c r="E35" s="69" t="s">
        <v>444</v>
      </c>
      <c r="F35" s="69" t="s">
        <v>4223</v>
      </c>
      <c r="G35" s="7" t="s">
        <v>2014</v>
      </c>
      <c r="H35" s="7"/>
      <c r="I35" s="7"/>
    </row>
    <row r="36" spans="1:9" s="38" customFormat="1" x14ac:dyDescent="0.3">
      <c r="A36" t="s">
        <v>4567</v>
      </c>
      <c r="B36" s="97">
        <v>43200</v>
      </c>
      <c r="C36" s="38" t="s">
        <v>445</v>
      </c>
      <c r="D36" s="38" t="s">
        <v>1893</v>
      </c>
      <c r="E36" s="69" t="s">
        <v>444</v>
      </c>
      <c r="F36" s="69" t="s">
        <v>4223</v>
      </c>
      <c r="G36" s="7" t="s">
        <v>2014</v>
      </c>
      <c r="H36" s="7"/>
      <c r="I36" s="7"/>
    </row>
    <row r="37" spans="1:9" s="38" customFormat="1" x14ac:dyDescent="0.3">
      <c r="A37" t="s">
        <v>4567</v>
      </c>
      <c r="B37" s="97">
        <v>43200</v>
      </c>
      <c r="C37" s="38" t="s">
        <v>447</v>
      </c>
      <c r="D37" s="38" t="s">
        <v>1894</v>
      </c>
      <c r="E37" s="69" t="s">
        <v>444</v>
      </c>
      <c r="F37" s="69" t="s">
        <v>4223</v>
      </c>
      <c r="G37" s="7" t="s">
        <v>2014</v>
      </c>
      <c r="H37" s="7"/>
      <c r="I37" s="7"/>
    </row>
    <row r="38" spans="1:9" s="38" customFormat="1" x14ac:dyDescent="0.3">
      <c r="A38" t="s">
        <v>4567</v>
      </c>
      <c r="B38" s="97">
        <v>43200</v>
      </c>
      <c r="C38" s="38" t="s">
        <v>1249</v>
      </c>
      <c r="D38" s="38" t="s">
        <v>1250</v>
      </c>
      <c r="E38" s="69" t="s">
        <v>1251</v>
      </c>
      <c r="F38" s="69" t="s">
        <v>4223</v>
      </c>
      <c r="G38" s="7" t="s">
        <v>2013</v>
      </c>
      <c r="H38" s="7"/>
      <c r="I38" s="7"/>
    </row>
    <row r="39" spans="1:9" s="38" customFormat="1" x14ac:dyDescent="0.3">
      <c r="A39" t="s">
        <v>4567</v>
      </c>
      <c r="B39" s="97">
        <v>43200</v>
      </c>
      <c r="C39" s="38" t="s">
        <v>1252</v>
      </c>
      <c r="D39" s="38" t="s">
        <v>1253</v>
      </c>
      <c r="E39" s="69" t="s">
        <v>1251</v>
      </c>
      <c r="F39" s="69" t="s">
        <v>4223</v>
      </c>
      <c r="G39" s="7" t="s">
        <v>2013</v>
      </c>
      <c r="H39" s="7"/>
      <c r="I39" s="7"/>
    </row>
    <row r="40" spans="1:9" s="38" customFormat="1" x14ac:dyDescent="0.3">
      <c r="A40" t="s">
        <v>4567</v>
      </c>
      <c r="B40" s="97">
        <v>43200</v>
      </c>
      <c r="C40" s="38" t="s">
        <v>1256</v>
      </c>
      <c r="D40" s="38" t="s">
        <v>1257</v>
      </c>
      <c r="E40" s="69" t="s">
        <v>1251</v>
      </c>
      <c r="F40" s="69" t="s">
        <v>4223</v>
      </c>
      <c r="G40" s="7" t="s">
        <v>2013</v>
      </c>
      <c r="H40" s="7"/>
      <c r="I40" s="7"/>
    </row>
    <row r="41" spans="1:9" s="38" customFormat="1" x14ac:dyDescent="0.3">
      <c r="A41" t="s">
        <v>4567</v>
      </c>
      <c r="B41" s="97">
        <v>43200</v>
      </c>
      <c r="C41" s="38" t="s">
        <v>4264</v>
      </c>
      <c r="D41" s="38" t="s">
        <v>4270</v>
      </c>
      <c r="E41" s="69" t="s">
        <v>4266</v>
      </c>
      <c r="F41" s="69" t="s">
        <v>4267</v>
      </c>
      <c r="G41" s="7" t="s">
        <v>4268</v>
      </c>
      <c r="H41" s="7"/>
      <c r="I41" s="7"/>
    </row>
    <row r="42" spans="1:9" s="38" customFormat="1" x14ac:dyDescent="0.3">
      <c r="A42" t="s">
        <v>4567</v>
      </c>
      <c r="B42" s="97">
        <v>43200</v>
      </c>
      <c r="C42" s="38" t="s">
        <v>4265</v>
      </c>
      <c r="D42" s="38" t="s">
        <v>4269</v>
      </c>
      <c r="E42" s="69" t="s">
        <v>4271</v>
      </c>
      <c r="F42" s="69" t="s">
        <v>4267</v>
      </c>
      <c r="G42" s="7" t="s">
        <v>4268</v>
      </c>
      <c r="H42" s="7"/>
      <c r="I42" s="7"/>
    </row>
    <row r="43" spans="1:9" s="38" customFormat="1" x14ac:dyDescent="0.3">
      <c r="A43" t="s">
        <v>4567</v>
      </c>
      <c r="B43" s="97">
        <v>43208</v>
      </c>
      <c r="C43" s="38" t="s">
        <v>4272</v>
      </c>
      <c r="D43" s="38" t="s">
        <v>4276</v>
      </c>
      <c r="E43" s="69" t="s">
        <v>4277</v>
      </c>
      <c r="F43" s="69" t="s">
        <v>1560</v>
      </c>
      <c r="G43" s="7" t="s">
        <v>1561</v>
      </c>
      <c r="H43" s="7"/>
      <c r="I43" s="7"/>
    </row>
    <row r="44" spans="1:9" s="38" customFormat="1" x14ac:dyDescent="0.3">
      <c r="A44" t="s">
        <v>4567</v>
      </c>
      <c r="B44" s="97">
        <v>43208</v>
      </c>
      <c r="C44" s="38" t="s">
        <v>4273</v>
      </c>
      <c r="D44" s="38" t="s">
        <v>4278</v>
      </c>
      <c r="E44" s="69" t="s">
        <v>4279</v>
      </c>
      <c r="F44" s="69" t="s">
        <v>1560</v>
      </c>
      <c r="G44" s="7" t="s">
        <v>1561</v>
      </c>
      <c r="H44" s="7"/>
      <c r="I44" s="7"/>
    </row>
    <row r="45" spans="1:9" s="38" customFormat="1" x14ac:dyDescent="0.3">
      <c r="A45" t="s">
        <v>4567</v>
      </c>
      <c r="B45" s="97">
        <v>43208</v>
      </c>
      <c r="C45" s="38" t="s">
        <v>4274</v>
      </c>
      <c r="D45" s="38" t="s">
        <v>4280</v>
      </c>
      <c r="E45" s="69" t="s">
        <v>4281</v>
      </c>
      <c r="F45" s="69" t="s">
        <v>1560</v>
      </c>
      <c r="G45" s="7" t="s">
        <v>1561</v>
      </c>
      <c r="H45" s="7"/>
      <c r="I45" s="7"/>
    </row>
    <row r="46" spans="1:9" s="38" customFormat="1" x14ac:dyDescent="0.3">
      <c r="A46" t="s">
        <v>4567</v>
      </c>
      <c r="B46" s="97">
        <v>43208</v>
      </c>
      <c r="C46" s="38" t="s">
        <v>4114</v>
      </c>
      <c r="D46" s="38" t="s">
        <v>4115</v>
      </c>
      <c r="E46" s="69" t="s">
        <v>4282</v>
      </c>
      <c r="F46" s="69" t="s">
        <v>1560</v>
      </c>
      <c r="G46" s="7" t="s">
        <v>1561</v>
      </c>
      <c r="H46" s="7"/>
      <c r="I46" s="7"/>
    </row>
    <row r="47" spans="1:9" s="38" customFormat="1" x14ac:dyDescent="0.3">
      <c r="A47" t="s">
        <v>4567</v>
      </c>
      <c r="B47" s="97">
        <v>43208</v>
      </c>
      <c r="C47" s="38" t="s">
        <v>4275</v>
      </c>
      <c r="D47" s="38" t="s">
        <v>4283</v>
      </c>
      <c r="E47" s="69" t="s">
        <v>4284</v>
      </c>
      <c r="F47" s="69" t="s">
        <v>1560</v>
      </c>
      <c r="G47" s="7" t="s">
        <v>1561</v>
      </c>
      <c r="H47" s="7"/>
      <c r="I47" s="7"/>
    </row>
    <row r="48" spans="1:9" s="38" customFormat="1" x14ac:dyDescent="0.3">
      <c r="A48" t="s">
        <v>4567</v>
      </c>
      <c r="B48" s="97">
        <v>43210</v>
      </c>
      <c r="C48" s="38" t="s">
        <v>4164</v>
      </c>
      <c r="D48" s="38" t="s">
        <v>4165</v>
      </c>
      <c r="E48" s="69" t="s">
        <v>4285</v>
      </c>
      <c r="F48" s="69" t="s">
        <v>4286</v>
      </c>
      <c r="G48" s="7" t="s">
        <v>399</v>
      </c>
      <c r="H48" s="7"/>
      <c r="I48" s="7"/>
    </row>
    <row r="49" spans="1:9" s="38" customFormat="1" x14ac:dyDescent="0.3">
      <c r="A49" t="s">
        <v>4567</v>
      </c>
      <c r="B49" s="97">
        <v>43210</v>
      </c>
      <c r="C49" s="38" t="s">
        <v>4152</v>
      </c>
      <c r="D49" s="38" t="s">
        <v>4153</v>
      </c>
      <c r="E49" s="69" t="s">
        <v>4287</v>
      </c>
      <c r="F49" s="69" t="s">
        <v>4286</v>
      </c>
      <c r="G49" s="7" t="s">
        <v>399</v>
      </c>
      <c r="H49" s="7"/>
      <c r="I49" s="7"/>
    </row>
    <row r="50" spans="1:9" s="38" customFormat="1" x14ac:dyDescent="0.3">
      <c r="A50" t="s">
        <v>4567</v>
      </c>
      <c r="B50" s="97">
        <v>43210</v>
      </c>
      <c r="C50" s="38" t="s">
        <v>4154</v>
      </c>
      <c r="D50" s="38" t="s">
        <v>4155</v>
      </c>
      <c r="E50" s="69" t="s">
        <v>4288</v>
      </c>
      <c r="F50" s="69" t="s">
        <v>4286</v>
      </c>
      <c r="G50" s="7" t="s">
        <v>399</v>
      </c>
      <c r="H50" s="7"/>
      <c r="I50" s="7"/>
    </row>
    <row r="51" spans="1:9" s="38" customFormat="1" x14ac:dyDescent="0.3">
      <c r="A51" t="s">
        <v>4567</v>
      </c>
      <c r="B51" s="97">
        <v>43210</v>
      </c>
      <c r="C51" s="38" t="s">
        <v>4156</v>
      </c>
      <c r="D51" s="38" t="s">
        <v>4157</v>
      </c>
      <c r="E51" s="69" t="s">
        <v>4289</v>
      </c>
      <c r="F51" s="69" t="s">
        <v>4286</v>
      </c>
      <c r="G51" s="7" t="s">
        <v>399</v>
      </c>
      <c r="H51" s="7"/>
      <c r="I51" s="7"/>
    </row>
    <row r="52" spans="1:9" s="38" customFormat="1" x14ac:dyDescent="0.3">
      <c r="A52" t="s">
        <v>4567</v>
      </c>
      <c r="B52" s="97">
        <v>43210</v>
      </c>
      <c r="C52" s="38" t="s">
        <v>4148</v>
      </c>
      <c r="D52" s="38" t="s">
        <v>4149</v>
      </c>
      <c r="E52" s="69" t="s">
        <v>4290</v>
      </c>
      <c r="F52" s="69" t="s">
        <v>4286</v>
      </c>
      <c r="G52" s="7" t="s">
        <v>399</v>
      </c>
      <c r="H52" s="7"/>
      <c r="I52" s="7"/>
    </row>
    <row r="53" spans="1:9" s="38" customFormat="1" x14ac:dyDescent="0.3">
      <c r="A53" t="s">
        <v>4567</v>
      </c>
      <c r="B53" s="97">
        <v>43210</v>
      </c>
      <c r="C53" s="38" t="s">
        <v>4158</v>
      </c>
      <c r="D53" s="38" t="s">
        <v>4159</v>
      </c>
      <c r="E53" s="69" t="s">
        <v>4291</v>
      </c>
      <c r="F53" s="69" t="s">
        <v>4286</v>
      </c>
      <c r="G53" s="7" t="s">
        <v>399</v>
      </c>
      <c r="H53" s="7"/>
      <c r="I53" s="7"/>
    </row>
    <row r="54" spans="1:9" s="38" customFormat="1" x14ac:dyDescent="0.3">
      <c r="A54" t="s">
        <v>4567</v>
      </c>
      <c r="B54" s="97">
        <v>43210</v>
      </c>
      <c r="C54" s="38" t="s">
        <v>4150</v>
      </c>
      <c r="D54" s="38" t="s">
        <v>4151</v>
      </c>
      <c r="E54" s="69" t="s">
        <v>4292</v>
      </c>
      <c r="F54" s="69" t="s">
        <v>4286</v>
      </c>
      <c r="G54" s="7" t="s">
        <v>399</v>
      </c>
      <c r="H54" s="7"/>
      <c r="I54" s="7"/>
    </row>
    <row r="55" spans="1:9" s="38" customFormat="1" x14ac:dyDescent="0.3">
      <c r="A55" t="s">
        <v>4567</v>
      </c>
      <c r="B55" s="97">
        <v>43210</v>
      </c>
      <c r="C55" s="38" t="s">
        <v>4160</v>
      </c>
      <c r="D55" s="38" t="s">
        <v>4161</v>
      </c>
      <c r="E55" s="69" t="s">
        <v>4293</v>
      </c>
      <c r="F55" s="69" t="s">
        <v>4286</v>
      </c>
      <c r="G55" s="7" t="s">
        <v>399</v>
      </c>
      <c r="H55" s="7"/>
      <c r="I55" s="7"/>
    </row>
    <row r="56" spans="1:9" s="38" customFormat="1" x14ac:dyDescent="0.3">
      <c r="A56" t="s">
        <v>4567</v>
      </c>
      <c r="B56" s="97">
        <v>43210</v>
      </c>
      <c r="C56" s="38" t="s">
        <v>4162</v>
      </c>
      <c r="D56" s="38" t="s">
        <v>4163</v>
      </c>
      <c r="E56" s="69" t="s">
        <v>4294</v>
      </c>
      <c r="F56" s="69" t="s">
        <v>4286</v>
      </c>
      <c r="G56" s="7" t="s">
        <v>399</v>
      </c>
      <c r="H56" s="7"/>
      <c r="I56" s="7"/>
    </row>
    <row r="57" spans="1:9" s="38" customFormat="1" x14ac:dyDescent="0.3">
      <c r="A57" t="s">
        <v>4567</v>
      </c>
      <c r="B57" s="97">
        <v>43274</v>
      </c>
      <c r="C57" s="38" t="s">
        <v>4331</v>
      </c>
      <c r="D57" s="38" t="s">
        <v>4332</v>
      </c>
      <c r="E57" s="69"/>
      <c r="F57" s="69"/>
      <c r="G57" s="7"/>
      <c r="H57" s="7"/>
      <c r="I57" s="7"/>
    </row>
    <row r="58" spans="1:9" s="38" customFormat="1" x14ac:dyDescent="0.3">
      <c r="A58" t="s">
        <v>4567</v>
      </c>
      <c r="B58" s="97">
        <v>43274</v>
      </c>
      <c r="C58" s="38" t="s">
        <v>4333</v>
      </c>
      <c r="D58" s="38" t="s">
        <v>4334</v>
      </c>
      <c r="E58" s="69"/>
      <c r="F58" s="69"/>
      <c r="G58" s="7"/>
      <c r="H58" s="7"/>
      <c r="I58" s="7"/>
    </row>
    <row r="59" spans="1:9" s="38" customFormat="1" x14ac:dyDescent="0.3">
      <c r="A59" t="s">
        <v>4567</v>
      </c>
      <c r="B59" s="97">
        <v>43274</v>
      </c>
      <c r="C59" s="38" t="s">
        <v>4335</v>
      </c>
      <c r="D59" s="38" t="s">
        <v>4336</v>
      </c>
      <c r="E59" s="69"/>
      <c r="F59" s="69"/>
      <c r="G59" s="7"/>
      <c r="H59" s="7"/>
      <c r="I59" s="7"/>
    </row>
    <row r="60" spans="1:9" s="38" customFormat="1" x14ac:dyDescent="0.3">
      <c r="A60" t="s">
        <v>4567</v>
      </c>
      <c r="B60" s="97">
        <v>43274</v>
      </c>
      <c r="C60" s="38" t="s">
        <v>4337</v>
      </c>
      <c r="D60" s="38" t="s">
        <v>4338</v>
      </c>
      <c r="E60" s="69"/>
      <c r="F60" s="69"/>
      <c r="G60" s="7"/>
      <c r="H60" s="7"/>
      <c r="I60" s="7"/>
    </row>
    <row r="61" spans="1:9" s="38" customFormat="1" x14ac:dyDescent="0.3">
      <c r="A61" t="s">
        <v>4567</v>
      </c>
      <c r="B61" s="97">
        <v>43274</v>
      </c>
      <c r="C61" s="38" t="s">
        <v>4339</v>
      </c>
      <c r="D61" s="38" t="s">
        <v>4340</v>
      </c>
      <c r="E61" s="69"/>
      <c r="F61" s="69"/>
      <c r="G61" s="7"/>
      <c r="H61" s="7"/>
      <c r="I61" s="7"/>
    </row>
    <row r="62" spans="1:9" s="38" customFormat="1" x14ac:dyDescent="0.3">
      <c r="A62" t="s">
        <v>4567</v>
      </c>
      <c r="B62" s="97">
        <v>43274</v>
      </c>
      <c r="C62" s="38" t="s">
        <v>4341</v>
      </c>
      <c r="D62" s="38" t="s">
        <v>4342</v>
      </c>
      <c r="E62" s="69"/>
      <c r="F62" s="69"/>
      <c r="G62" s="7"/>
      <c r="H62" s="7"/>
      <c r="I62" s="7"/>
    </row>
    <row r="63" spans="1:9" s="38" customFormat="1" x14ac:dyDescent="0.3">
      <c r="A63" t="s">
        <v>4567</v>
      </c>
      <c r="B63" s="97">
        <v>43274</v>
      </c>
      <c r="C63" s="38" t="s">
        <v>4343</v>
      </c>
      <c r="D63" s="38" t="s">
        <v>4344</v>
      </c>
      <c r="E63" s="69"/>
      <c r="F63" s="69"/>
      <c r="G63" s="7"/>
      <c r="H63" s="7"/>
      <c r="I63" s="7"/>
    </row>
    <row r="64" spans="1:9" s="38" customFormat="1" x14ac:dyDescent="0.3">
      <c r="A64" t="s">
        <v>4567</v>
      </c>
      <c r="B64" s="97">
        <v>43274</v>
      </c>
      <c r="C64" s="38" t="s">
        <v>4345</v>
      </c>
      <c r="D64" s="38" t="s">
        <v>4346</v>
      </c>
      <c r="E64" s="69"/>
      <c r="F64" s="69"/>
      <c r="G64" s="7"/>
      <c r="H64" s="7"/>
      <c r="I64" s="7"/>
    </row>
    <row r="65" spans="1:9" s="38" customFormat="1" x14ac:dyDescent="0.3">
      <c r="A65" t="s">
        <v>4567</v>
      </c>
      <c r="B65" s="97">
        <v>43280</v>
      </c>
      <c r="C65" s="38" t="s">
        <v>4474</v>
      </c>
      <c r="D65" s="38" t="s">
        <v>4475</v>
      </c>
      <c r="E65" s="69" t="s">
        <v>4476</v>
      </c>
      <c r="F65" s="69" t="s">
        <v>2660</v>
      </c>
      <c r="G65" s="69" t="s">
        <v>46</v>
      </c>
      <c r="H65" s="7"/>
      <c r="I65" s="7"/>
    </row>
    <row r="66" spans="1:9" s="38" customFormat="1" x14ac:dyDescent="0.3">
      <c r="A66" t="s">
        <v>4567</v>
      </c>
      <c r="B66" s="97">
        <v>43355</v>
      </c>
      <c r="C66" s="38" t="s">
        <v>4483</v>
      </c>
      <c r="D66" s="38" t="s">
        <v>4485</v>
      </c>
      <c r="E66" s="38" t="s">
        <v>4500</v>
      </c>
      <c r="F66" s="69" t="s">
        <v>2660</v>
      </c>
      <c r="G66" s="69" t="s">
        <v>46</v>
      </c>
      <c r="H66" s="7"/>
      <c r="I66" s="7"/>
    </row>
    <row r="67" spans="1:9" s="38" customFormat="1" x14ac:dyDescent="0.3">
      <c r="A67" t="s">
        <v>4567</v>
      </c>
      <c r="B67" s="97">
        <v>43355</v>
      </c>
      <c r="C67" s="38" t="s">
        <v>4489</v>
      </c>
      <c r="D67" s="38" t="s">
        <v>4490</v>
      </c>
      <c r="E67" s="69" t="s">
        <v>4488</v>
      </c>
      <c r="F67" s="69" t="s">
        <v>2660</v>
      </c>
      <c r="G67" s="69" t="s">
        <v>46</v>
      </c>
      <c r="H67" s="7"/>
      <c r="I67" s="7"/>
    </row>
    <row r="68" spans="1:9" s="38" customFormat="1" x14ac:dyDescent="0.3">
      <c r="A68" t="s">
        <v>4567</v>
      </c>
      <c r="B68" s="97">
        <v>43355</v>
      </c>
      <c r="C68" s="38" t="s">
        <v>4492</v>
      </c>
      <c r="D68" s="38" t="s">
        <v>4493</v>
      </c>
      <c r="E68" s="69" t="s">
        <v>4491</v>
      </c>
      <c r="F68" s="69" t="s">
        <v>2660</v>
      </c>
      <c r="G68" s="69" t="s">
        <v>46</v>
      </c>
      <c r="H68" s="7"/>
      <c r="I68" s="7"/>
    </row>
    <row r="69" spans="1:9" s="38" customFormat="1" x14ac:dyDescent="0.3">
      <c r="A69" t="s">
        <v>4567</v>
      </c>
      <c r="B69" s="97">
        <v>43355</v>
      </c>
      <c r="C69" s="38" t="s">
        <v>4494</v>
      </c>
      <c r="D69" s="38" t="s">
        <v>4495</v>
      </c>
      <c r="E69" s="69" t="s">
        <v>4491</v>
      </c>
      <c r="F69" s="69" t="s">
        <v>2660</v>
      </c>
      <c r="G69" s="69" t="s">
        <v>46</v>
      </c>
      <c r="H69" s="7"/>
      <c r="I69" s="7"/>
    </row>
    <row r="70" spans="1:9" s="38" customFormat="1" x14ac:dyDescent="0.3">
      <c r="A70" t="s">
        <v>4567</v>
      </c>
      <c r="B70" s="97">
        <v>43355</v>
      </c>
      <c r="C70" s="38" t="s">
        <v>4496</v>
      </c>
      <c r="D70" s="38" t="s">
        <v>4497</v>
      </c>
      <c r="E70" s="69" t="s">
        <v>4491</v>
      </c>
      <c r="F70" s="69" t="s">
        <v>2660</v>
      </c>
      <c r="G70" s="69" t="s">
        <v>46</v>
      </c>
      <c r="H70" s="7"/>
      <c r="I70" s="7"/>
    </row>
    <row r="71" spans="1:9" s="38" customFormat="1" x14ac:dyDescent="0.3">
      <c r="A71" t="s">
        <v>4567</v>
      </c>
      <c r="B71" s="97">
        <v>43355</v>
      </c>
      <c r="C71" s="38" t="s">
        <v>4477</v>
      </c>
      <c r="D71" s="38" t="s">
        <v>4478</v>
      </c>
      <c r="E71" s="69" t="s">
        <v>4498</v>
      </c>
      <c r="F71" s="69" t="s">
        <v>455</v>
      </c>
      <c r="G71" s="69" t="s">
        <v>456</v>
      </c>
      <c r="H71" s="7"/>
      <c r="I71" s="7"/>
    </row>
    <row r="72" spans="1:9" s="38" customFormat="1" x14ac:dyDescent="0.3">
      <c r="A72" t="s">
        <v>4567</v>
      </c>
      <c r="B72" s="97">
        <v>43355</v>
      </c>
      <c r="C72" s="38" t="s">
        <v>4479</v>
      </c>
      <c r="D72" s="38" t="s">
        <v>4480</v>
      </c>
      <c r="E72" s="69" t="s">
        <v>4499</v>
      </c>
      <c r="F72" s="69" t="s">
        <v>455</v>
      </c>
      <c r="G72" s="69" t="s">
        <v>456</v>
      </c>
      <c r="H72" s="7"/>
      <c r="I72" s="7"/>
    </row>
    <row r="73" spans="1:9" s="38" customFormat="1" x14ac:dyDescent="0.3">
      <c r="A73" t="s">
        <v>4567</v>
      </c>
      <c r="B73" s="97">
        <v>43355</v>
      </c>
      <c r="C73" s="38" t="s">
        <v>4481</v>
      </c>
      <c r="D73" s="38" t="s">
        <v>4482</v>
      </c>
      <c r="E73" s="69" t="s">
        <v>4501</v>
      </c>
      <c r="F73" s="69" t="s">
        <v>2533</v>
      </c>
      <c r="G73" s="69" t="s">
        <v>4487</v>
      </c>
      <c r="H73" s="7"/>
      <c r="I73" s="7"/>
    </row>
    <row r="74" spans="1:9" s="38" customFormat="1" x14ac:dyDescent="0.3">
      <c r="A74" t="s">
        <v>4567</v>
      </c>
      <c r="B74" s="97">
        <v>43383</v>
      </c>
      <c r="C74" s="38" t="s">
        <v>4503</v>
      </c>
      <c r="D74" s="38" t="s">
        <v>4504</v>
      </c>
      <c r="E74" s="69" t="s">
        <v>4505</v>
      </c>
      <c r="F74" s="69" t="s">
        <v>4506</v>
      </c>
      <c r="G74" s="69" t="s">
        <v>419</v>
      </c>
      <c r="H74" s="7"/>
      <c r="I74" s="7"/>
    </row>
    <row r="75" spans="1:9" s="38" customFormat="1" x14ac:dyDescent="0.3">
      <c r="A75" t="s">
        <v>4567</v>
      </c>
      <c r="B75" s="97">
        <v>43383</v>
      </c>
      <c r="C75" s="38" t="s">
        <v>4507</v>
      </c>
      <c r="D75" s="38" t="s">
        <v>4508</v>
      </c>
      <c r="E75" s="69" t="s">
        <v>4524</v>
      </c>
      <c r="F75" s="69" t="s">
        <v>4506</v>
      </c>
      <c r="G75" s="69" t="s">
        <v>419</v>
      </c>
      <c r="H75" s="7"/>
      <c r="I75" s="7"/>
    </row>
    <row r="76" spans="1:9" s="38" customFormat="1" x14ac:dyDescent="0.3">
      <c r="A76" t="s">
        <v>4567</v>
      </c>
      <c r="B76" s="97">
        <v>43383</v>
      </c>
      <c r="C76" s="38" t="s">
        <v>4509</v>
      </c>
      <c r="D76" s="38" t="s">
        <v>4510</v>
      </c>
      <c r="E76" s="69" t="s">
        <v>4511</v>
      </c>
      <c r="F76" s="69" t="s">
        <v>4506</v>
      </c>
      <c r="G76" s="69" t="s">
        <v>419</v>
      </c>
      <c r="H76" s="7"/>
      <c r="I76" s="7"/>
    </row>
    <row r="77" spans="1:9" s="38" customFormat="1" x14ac:dyDescent="0.3">
      <c r="A77" t="s">
        <v>4567</v>
      </c>
      <c r="B77" s="97">
        <v>43383</v>
      </c>
      <c r="C77" s="38" t="s">
        <v>4512</v>
      </c>
      <c r="D77" s="38" t="s">
        <v>4513</v>
      </c>
      <c r="E77" s="69" t="s">
        <v>4505</v>
      </c>
      <c r="F77" s="69" t="s">
        <v>4506</v>
      </c>
      <c r="G77" s="69" t="s">
        <v>419</v>
      </c>
      <c r="H77" s="7"/>
      <c r="I77" s="7"/>
    </row>
    <row r="78" spans="1:9" s="38" customFormat="1" x14ac:dyDescent="0.3">
      <c r="A78" t="s">
        <v>4567</v>
      </c>
      <c r="B78" s="97">
        <v>43383</v>
      </c>
      <c r="C78" s="38" t="s">
        <v>4514</v>
      </c>
      <c r="D78" s="38" t="s">
        <v>4515</v>
      </c>
      <c r="E78" s="69" t="s">
        <v>4524</v>
      </c>
      <c r="F78" s="69" t="s">
        <v>4506</v>
      </c>
      <c r="G78" s="69" t="s">
        <v>419</v>
      </c>
      <c r="H78" s="7"/>
      <c r="I78" s="7"/>
    </row>
    <row r="79" spans="1:9" s="38" customFormat="1" x14ac:dyDescent="0.3">
      <c r="A79" t="s">
        <v>4567</v>
      </c>
      <c r="B79" s="97">
        <v>43383</v>
      </c>
      <c r="C79" s="38" t="s">
        <v>4516</v>
      </c>
      <c r="D79" s="38" t="s">
        <v>4517</v>
      </c>
      <c r="E79" s="69" t="s">
        <v>4511</v>
      </c>
      <c r="F79" s="69" t="s">
        <v>4506</v>
      </c>
      <c r="G79" s="69" t="s">
        <v>419</v>
      </c>
      <c r="H79" s="7"/>
      <c r="I79" s="7"/>
    </row>
    <row r="80" spans="1:9" s="38" customFormat="1" x14ac:dyDescent="0.3">
      <c r="A80" t="s">
        <v>4567</v>
      </c>
      <c r="B80" s="97">
        <v>43383</v>
      </c>
      <c r="C80" s="38" t="s">
        <v>4518</v>
      </c>
      <c r="D80" s="38" t="s">
        <v>4519</v>
      </c>
      <c r="E80" s="69" t="s">
        <v>4505</v>
      </c>
      <c r="F80" s="69" t="s">
        <v>4506</v>
      </c>
      <c r="G80" s="69" t="s">
        <v>419</v>
      </c>
      <c r="H80" s="7"/>
      <c r="I80" s="7"/>
    </row>
    <row r="81" spans="1:9" s="38" customFormat="1" x14ac:dyDescent="0.3">
      <c r="A81" t="s">
        <v>4567</v>
      </c>
      <c r="B81" s="97">
        <v>43383</v>
      </c>
      <c r="C81" s="38" t="s">
        <v>4520</v>
      </c>
      <c r="D81" s="38" t="s">
        <v>4521</v>
      </c>
      <c r="E81" s="69" t="s">
        <v>4524</v>
      </c>
      <c r="F81" s="69" t="s">
        <v>4506</v>
      </c>
      <c r="G81" s="69" t="s">
        <v>419</v>
      </c>
      <c r="H81" s="7"/>
      <c r="I81" s="7"/>
    </row>
    <row r="82" spans="1:9" s="38" customFormat="1" x14ac:dyDescent="0.3">
      <c r="A82" t="s">
        <v>4567</v>
      </c>
      <c r="B82" s="97">
        <v>43383</v>
      </c>
      <c r="C82" s="38" t="s">
        <v>4522</v>
      </c>
      <c r="D82" s="38" t="s">
        <v>4523</v>
      </c>
      <c r="E82" s="69" t="s">
        <v>4511</v>
      </c>
      <c r="F82" s="69" t="s">
        <v>4506</v>
      </c>
      <c r="G82" s="69" t="s">
        <v>419</v>
      </c>
      <c r="H82" s="7"/>
      <c r="I82" s="7"/>
    </row>
    <row r="83" spans="1:9" s="38" customFormat="1" x14ac:dyDescent="0.3">
      <c r="A83" t="s">
        <v>4567</v>
      </c>
      <c r="B83" s="97"/>
      <c r="C83" s="45"/>
      <c r="D83" s="28"/>
      <c r="E83" s="17"/>
      <c r="F83" s="1"/>
      <c r="G83" s="1"/>
    </row>
    <row r="84" spans="1:9" s="38" customFormat="1" x14ac:dyDescent="0.3">
      <c r="A84" s="84" t="s">
        <v>4574</v>
      </c>
      <c r="B84" s="99" t="s">
        <v>3836</v>
      </c>
      <c r="C84" s="6" t="str">
        <f>"Deletions ("&amp;COUNTA(C85:C146)&amp;")"</f>
        <v>Deletions (61)</v>
      </c>
      <c r="D84" s="5" t="s">
        <v>28</v>
      </c>
      <c r="E84" s="17"/>
      <c r="F84" s="68"/>
      <c r="G84" s="1"/>
    </row>
    <row r="85" spans="1:9" s="38" customFormat="1" x14ac:dyDescent="0.3">
      <c r="A85" s="38" t="s">
        <v>4568</v>
      </c>
      <c r="B85" s="97">
        <v>43131</v>
      </c>
      <c r="C85" s="38" t="s">
        <v>1490</v>
      </c>
      <c r="D85" s="38" t="s">
        <v>4113</v>
      </c>
      <c r="E85" s="42"/>
      <c r="F85" s="42"/>
      <c r="G85" s="7"/>
    </row>
    <row r="86" spans="1:9" s="38" customFormat="1" x14ac:dyDescent="0.3">
      <c r="A86" s="38" t="s">
        <v>4568</v>
      </c>
      <c r="B86" s="97">
        <v>43173</v>
      </c>
      <c r="C86" s="38" t="s">
        <v>1594</v>
      </c>
      <c r="D86" s="38" t="s">
        <v>3161</v>
      </c>
      <c r="E86" s="42"/>
      <c r="F86" s="42"/>
      <c r="G86" s="7"/>
    </row>
    <row r="87" spans="1:9" s="38" customFormat="1" x14ac:dyDescent="0.3">
      <c r="A87" s="38" t="s">
        <v>4568</v>
      </c>
      <c r="B87" s="97">
        <v>43200</v>
      </c>
      <c r="C87" s="124" t="s">
        <v>2473</v>
      </c>
      <c r="D87" s="38" t="s">
        <v>4224</v>
      </c>
      <c r="E87" s="42"/>
      <c r="F87" s="42"/>
      <c r="G87" s="7"/>
    </row>
    <row r="88" spans="1:9" s="38" customFormat="1" x14ac:dyDescent="0.3">
      <c r="A88" s="38" t="s">
        <v>4568</v>
      </c>
      <c r="B88" s="97">
        <v>43200</v>
      </c>
      <c r="C88" s="124" t="s">
        <v>4096</v>
      </c>
      <c r="D88" s="38" t="s">
        <v>4097</v>
      </c>
      <c r="E88" s="42"/>
      <c r="F88" s="42"/>
      <c r="G88" s="7"/>
    </row>
    <row r="89" spans="1:9" s="38" customFormat="1" x14ac:dyDescent="0.3">
      <c r="A89" s="38" t="s">
        <v>4568</v>
      </c>
      <c r="B89" s="97">
        <v>43200</v>
      </c>
      <c r="C89" s="124" t="s">
        <v>4098</v>
      </c>
      <c r="D89" s="38" t="s">
        <v>4099</v>
      </c>
      <c r="E89" s="42"/>
      <c r="F89" s="42"/>
      <c r="G89" s="7"/>
    </row>
    <row r="90" spans="1:9" s="38" customFormat="1" x14ac:dyDescent="0.3">
      <c r="A90" s="38" t="s">
        <v>4568</v>
      </c>
      <c r="B90" s="97">
        <v>43200</v>
      </c>
      <c r="C90" s="124" t="s">
        <v>1789</v>
      </c>
      <c r="D90" s="38" t="s">
        <v>4225</v>
      </c>
      <c r="E90" s="42"/>
      <c r="F90" s="42"/>
      <c r="G90" s="7"/>
    </row>
    <row r="91" spans="1:9" s="38" customFormat="1" x14ac:dyDescent="0.3">
      <c r="A91" s="38" t="s">
        <v>4568</v>
      </c>
      <c r="B91" s="97">
        <v>43200</v>
      </c>
      <c r="C91" s="124" t="s">
        <v>1785</v>
      </c>
      <c r="D91" s="38" t="s">
        <v>4226</v>
      </c>
      <c r="E91" s="42"/>
      <c r="F91" s="42"/>
      <c r="G91" s="7"/>
    </row>
    <row r="92" spans="1:9" s="38" customFormat="1" x14ac:dyDescent="0.3">
      <c r="A92" s="38" t="s">
        <v>4568</v>
      </c>
      <c r="B92" s="97">
        <v>43200</v>
      </c>
      <c r="C92" s="124" t="s">
        <v>1788</v>
      </c>
      <c r="D92" s="38" t="s">
        <v>4227</v>
      </c>
      <c r="E92" s="42"/>
      <c r="F92" s="42"/>
      <c r="G92" s="7"/>
    </row>
    <row r="93" spans="1:9" s="38" customFormat="1" x14ac:dyDescent="0.3">
      <c r="A93" s="38" t="s">
        <v>4568</v>
      </c>
      <c r="B93" s="97">
        <v>43200</v>
      </c>
      <c r="C93" s="124" t="s">
        <v>1790</v>
      </c>
      <c r="D93" s="38" t="s">
        <v>4228</v>
      </c>
      <c r="E93" s="42"/>
      <c r="F93" s="42"/>
      <c r="G93" s="7"/>
    </row>
    <row r="94" spans="1:9" s="38" customFormat="1" x14ac:dyDescent="0.3">
      <c r="A94" s="38" t="s">
        <v>4568</v>
      </c>
      <c r="B94" s="97">
        <v>43200</v>
      </c>
      <c r="C94" s="124" t="s">
        <v>1793</v>
      </c>
      <c r="D94" s="38" t="s">
        <v>4229</v>
      </c>
      <c r="E94" s="42"/>
      <c r="F94" s="42"/>
      <c r="G94" s="7"/>
    </row>
    <row r="95" spans="1:9" s="38" customFormat="1" x14ac:dyDescent="0.3">
      <c r="A95" s="38" t="s">
        <v>4568</v>
      </c>
      <c r="B95" s="97">
        <v>43200</v>
      </c>
      <c r="C95" s="124" t="s">
        <v>1794</v>
      </c>
      <c r="D95" s="38" t="s">
        <v>4230</v>
      </c>
      <c r="E95" s="42"/>
      <c r="F95" s="42"/>
      <c r="G95" s="7"/>
    </row>
    <row r="96" spans="1:9" s="38" customFormat="1" x14ac:dyDescent="0.3">
      <c r="A96" s="38" t="s">
        <v>4568</v>
      </c>
      <c r="B96" s="97">
        <v>43200</v>
      </c>
      <c r="C96" s="124" t="s">
        <v>339</v>
      </c>
      <c r="D96" s="38" t="s">
        <v>4231</v>
      </c>
      <c r="E96" s="42"/>
      <c r="F96" s="42"/>
      <c r="G96" s="7"/>
    </row>
    <row r="97" spans="1:9" s="38" customFormat="1" x14ac:dyDescent="0.3">
      <c r="A97" s="38" t="s">
        <v>4568</v>
      </c>
      <c r="B97" s="97">
        <v>43200</v>
      </c>
      <c r="C97" s="124" t="s">
        <v>342</v>
      </c>
      <c r="D97" s="38" t="s">
        <v>1220</v>
      </c>
      <c r="E97" s="42"/>
      <c r="F97" s="42"/>
      <c r="G97" s="7"/>
    </row>
    <row r="98" spans="1:9" s="38" customFormat="1" x14ac:dyDescent="0.3">
      <c r="A98" s="38" t="s">
        <v>4568</v>
      </c>
      <c r="B98" s="97">
        <v>43200</v>
      </c>
      <c r="C98" s="124" t="s">
        <v>343</v>
      </c>
      <c r="D98" s="38" t="s">
        <v>4232</v>
      </c>
      <c r="E98" s="42"/>
      <c r="F98" s="42"/>
      <c r="G98" s="7"/>
    </row>
    <row r="99" spans="1:9" s="38" customFormat="1" x14ac:dyDescent="0.3">
      <c r="A99" s="38" t="s">
        <v>4568</v>
      </c>
      <c r="B99" s="97">
        <v>43200</v>
      </c>
      <c r="C99" s="124" t="s">
        <v>344</v>
      </c>
      <c r="D99" s="38" t="s">
        <v>4233</v>
      </c>
      <c r="E99" s="42"/>
      <c r="F99" s="42"/>
      <c r="G99" s="7"/>
    </row>
    <row r="100" spans="1:9" s="38" customFormat="1" x14ac:dyDescent="0.3">
      <c r="A100" s="38" t="s">
        <v>4568</v>
      </c>
      <c r="B100" s="97">
        <v>43200</v>
      </c>
      <c r="C100" s="124" t="s">
        <v>345</v>
      </c>
      <c r="D100" s="38" t="s">
        <v>2394</v>
      </c>
      <c r="E100" s="42"/>
      <c r="F100" s="42"/>
      <c r="G100" s="7"/>
    </row>
    <row r="101" spans="1:9" s="38" customFormat="1" x14ac:dyDescent="0.3">
      <c r="A101" s="38" t="s">
        <v>4568</v>
      </c>
      <c r="B101" s="97">
        <v>43200</v>
      </c>
      <c r="C101" s="124" t="s">
        <v>346</v>
      </c>
      <c r="D101" s="38" t="s">
        <v>4234</v>
      </c>
      <c r="E101" s="42"/>
      <c r="F101" s="42"/>
      <c r="G101" s="7"/>
    </row>
    <row r="102" spans="1:9" s="38" customFormat="1" x14ac:dyDescent="0.3">
      <c r="A102" s="38" t="s">
        <v>4568</v>
      </c>
      <c r="B102" s="97">
        <v>43200</v>
      </c>
      <c r="C102" s="124" t="s">
        <v>347</v>
      </c>
      <c r="D102" s="38" t="s">
        <v>4235</v>
      </c>
      <c r="E102" s="42"/>
      <c r="F102" s="42"/>
      <c r="G102" s="7"/>
    </row>
    <row r="103" spans="1:9" s="38" customFormat="1" x14ac:dyDescent="0.3">
      <c r="A103" s="38" t="s">
        <v>4568</v>
      </c>
      <c r="B103" s="97">
        <v>43200</v>
      </c>
      <c r="C103" s="124" t="s">
        <v>348</v>
      </c>
      <c r="D103" s="38" t="s">
        <v>4236</v>
      </c>
      <c r="E103" s="42"/>
      <c r="F103" s="42"/>
      <c r="G103" s="7"/>
    </row>
    <row r="104" spans="1:9" s="38" customFormat="1" x14ac:dyDescent="0.3">
      <c r="A104" s="38" t="s">
        <v>4568</v>
      </c>
      <c r="B104" s="97">
        <v>43200</v>
      </c>
      <c r="C104" s="124" t="s">
        <v>349</v>
      </c>
      <c r="D104" s="38" t="s">
        <v>4237</v>
      </c>
      <c r="E104" s="42"/>
      <c r="F104" s="42"/>
      <c r="G104" s="7"/>
    </row>
    <row r="105" spans="1:9" s="38" customFormat="1" x14ac:dyDescent="0.3">
      <c r="A105" s="38" t="s">
        <v>4568</v>
      </c>
      <c r="B105" s="97">
        <v>43200</v>
      </c>
      <c r="C105" s="124" t="s">
        <v>350</v>
      </c>
      <c r="D105" s="38" t="s">
        <v>4238</v>
      </c>
      <c r="E105" s="42"/>
      <c r="F105" s="42"/>
      <c r="G105" s="7"/>
    </row>
    <row r="106" spans="1:9" s="38" customFormat="1" x14ac:dyDescent="0.3">
      <c r="A106" s="38" t="s">
        <v>4568</v>
      </c>
      <c r="B106" s="97">
        <v>43210</v>
      </c>
      <c r="C106" s="38" t="s">
        <v>2935</v>
      </c>
      <c r="D106" s="38" t="s">
        <v>2936</v>
      </c>
      <c r="E106" s="69"/>
      <c r="F106" s="69"/>
      <c r="G106" s="7"/>
      <c r="H106" s="7"/>
      <c r="I106" s="7"/>
    </row>
    <row r="107" spans="1:9" s="38" customFormat="1" x14ac:dyDescent="0.3">
      <c r="A107" s="38" t="s">
        <v>4568</v>
      </c>
      <c r="B107" s="97">
        <v>43210</v>
      </c>
      <c r="C107" s="38" t="s">
        <v>2937</v>
      </c>
      <c r="D107" s="38" t="s">
        <v>2938</v>
      </c>
      <c r="E107" s="69"/>
      <c r="F107" s="69"/>
      <c r="G107" s="7"/>
      <c r="H107" s="7"/>
      <c r="I107" s="7"/>
    </row>
    <row r="108" spans="1:9" s="38" customFormat="1" x14ac:dyDescent="0.3">
      <c r="A108" s="38" t="s">
        <v>4568</v>
      </c>
      <c r="B108" s="97">
        <v>43210</v>
      </c>
      <c r="C108" s="38" t="s">
        <v>2939</v>
      </c>
      <c r="D108" s="38" t="s">
        <v>2940</v>
      </c>
      <c r="E108" s="69"/>
      <c r="F108" s="69"/>
      <c r="G108" s="7"/>
      <c r="H108" s="7"/>
      <c r="I108" s="7"/>
    </row>
    <row r="109" spans="1:9" s="38" customFormat="1" x14ac:dyDescent="0.3">
      <c r="A109" s="38" t="s">
        <v>4568</v>
      </c>
      <c r="B109" s="97">
        <v>43210</v>
      </c>
      <c r="C109" s="38" t="s">
        <v>2941</v>
      </c>
      <c r="D109" s="38" t="s">
        <v>2942</v>
      </c>
      <c r="E109" s="69"/>
      <c r="F109" s="69"/>
      <c r="G109" s="7"/>
      <c r="H109" s="7"/>
      <c r="I109" s="7"/>
    </row>
    <row r="110" spans="1:9" s="38" customFormat="1" x14ac:dyDescent="0.3">
      <c r="A110" s="38" t="s">
        <v>4568</v>
      </c>
      <c r="B110" s="97">
        <v>43210</v>
      </c>
      <c r="C110" s="38" t="s">
        <v>2943</v>
      </c>
      <c r="D110" s="38" t="s">
        <v>2944</v>
      </c>
      <c r="E110" s="69"/>
      <c r="F110" s="69"/>
      <c r="G110" s="7"/>
      <c r="H110" s="7"/>
      <c r="I110" s="7"/>
    </row>
    <row r="111" spans="1:9" s="38" customFormat="1" x14ac:dyDescent="0.3">
      <c r="A111" s="38" t="s">
        <v>4568</v>
      </c>
      <c r="B111" s="97">
        <v>43210</v>
      </c>
      <c r="C111" s="38" t="s">
        <v>2945</v>
      </c>
      <c r="D111" s="38" t="s">
        <v>2946</v>
      </c>
      <c r="E111" s="69"/>
      <c r="F111" s="69"/>
      <c r="G111" s="7"/>
      <c r="H111" s="7"/>
      <c r="I111" s="7"/>
    </row>
    <row r="112" spans="1:9" s="38" customFormat="1" x14ac:dyDescent="0.3">
      <c r="A112" s="38" t="s">
        <v>4568</v>
      </c>
      <c r="B112" s="97">
        <v>43210</v>
      </c>
      <c r="C112" s="38" t="s">
        <v>2947</v>
      </c>
      <c r="D112" s="38" t="s">
        <v>2948</v>
      </c>
      <c r="E112" s="69"/>
      <c r="F112" s="69"/>
      <c r="G112" s="7"/>
      <c r="H112" s="7"/>
      <c r="I112" s="7"/>
    </row>
    <row r="113" spans="1:9" s="38" customFormat="1" x14ac:dyDescent="0.3">
      <c r="A113" s="38" t="s">
        <v>4568</v>
      </c>
      <c r="B113" s="97">
        <v>43210</v>
      </c>
      <c r="C113" s="38" t="s">
        <v>2949</v>
      </c>
      <c r="D113" s="38" t="s">
        <v>2950</v>
      </c>
      <c r="E113" s="69"/>
      <c r="F113" s="69"/>
      <c r="G113" s="7"/>
      <c r="H113" s="7"/>
      <c r="I113" s="7"/>
    </row>
    <row r="114" spans="1:9" s="38" customFormat="1" x14ac:dyDescent="0.3">
      <c r="A114" s="38" t="s">
        <v>4568</v>
      </c>
      <c r="B114" s="97">
        <v>43210</v>
      </c>
      <c r="C114" s="38" t="s">
        <v>2951</v>
      </c>
      <c r="D114" s="38" t="s">
        <v>2952</v>
      </c>
      <c r="E114" s="69"/>
      <c r="F114" s="69"/>
      <c r="G114" s="7"/>
      <c r="H114" s="7"/>
      <c r="I114" s="7"/>
    </row>
    <row r="115" spans="1:9" s="38" customFormat="1" x14ac:dyDescent="0.3">
      <c r="A115" s="38" t="s">
        <v>4568</v>
      </c>
      <c r="B115" s="97">
        <v>43210</v>
      </c>
      <c r="C115" s="38" t="s">
        <v>2953</v>
      </c>
      <c r="D115" s="38" t="s">
        <v>2954</v>
      </c>
      <c r="E115" s="69"/>
      <c r="F115" s="69"/>
      <c r="G115" s="7"/>
      <c r="H115" s="7"/>
      <c r="I115" s="7"/>
    </row>
    <row r="116" spans="1:9" s="38" customFormat="1" x14ac:dyDescent="0.3">
      <c r="A116" s="38" t="s">
        <v>4568</v>
      </c>
      <c r="B116" s="97">
        <v>43273</v>
      </c>
      <c r="C116" s="38" t="s">
        <v>629</v>
      </c>
      <c r="D116" s="38" t="s">
        <v>4303</v>
      </c>
      <c r="E116" s="69"/>
      <c r="F116" s="69"/>
      <c r="G116" s="7"/>
      <c r="H116" s="7"/>
      <c r="I116" s="7"/>
    </row>
    <row r="117" spans="1:9" s="38" customFormat="1" x14ac:dyDescent="0.3">
      <c r="A117" s="38" t="s">
        <v>4568</v>
      </c>
      <c r="B117" s="97">
        <v>43273</v>
      </c>
      <c r="C117" s="38" t="s">
        <v>3871</v>
      </c>
      <c r="D117" s="38" t="s">
        <v>3872</v>
      </c>
      <c r="E117" s="69"/>
      <c r="F117" s="69"/>
      <c r="G117" s="7"/>
      <c r="H117" s="7"/>
      <c r="I117" s="7"/>
    </row>
    <row r="118" spans="1:9" s="38" customFormat="1" x14ac:dyDescent="0.3">
      <c r="A118" s="38" t="s">
        <v>4568</v>
      </c>
      <c r="B118" s="97">
        <v>43273</v>
      </c>
      <c r="C118" s="38" t="s">
        <v>4304</v>
      </c>
      <c r="D118" s="38" t="s">
        <v>4305</v>
      </c>
      <c r="E118" s="69"/>
      <c r="F118" s="69"/>
      <c r="G118" s="7"/>
      <c r="H118" s="7"/>
      <c r="I118" s="7"/>
    </row>
    <row r="119" spans="1:9" s="38" customFormat="1" x14ac:dyDescent="0.3">
      <c r="A119" s="38" t="s">
        <v>4568</v>
      </c>
      <c r="B119" s="97">
        <v>43273</v>
      </c>
      <c r="C119" s="38" t="s">
        <v>4306</v>
      </c>
      <c r="D119" s="38" t="s">
        <v>4307</v>
      </c>
      <c r="E119" s="69"/>
      <c r="F119" s="69"/>
      <c r="G119" s="7"/>
      <c r="H119" s="7"/>
      <c r="I119" s="7"/>
    </row>
    <row r="120" spans="1:9" s="38" customFormat="1" x14ac:dyDescent="0.3">
      <c r="A120" s="38" t="s">
        <v>4568</v>
      </c>
      <c r="B120" s="97">
        <v>43273</v>
      </c>
      <c r="C120" s="38" t="s">
        <v>1604</v>
      </c>
      <c r="D120" s="38" t="s">
        <v>3165</v>
      </c>
      <c r="E120" s="69"/>
      <c r="F120" s="69"/>
      <c r="G120" s="7"/>
      <c r="H120" s="7"/>
      <c r="I120" s="7"/>
    </row>
    <row r="121" spans="1:9" s="38" customFormat="1" x14ac:dyDescent="0.3">
      <c r="A121" s="38" t="s">
        <v>4568</v>
      </c>
      <c r="B121" s="97">
        <v>43273</v>
      </c>
      <c r="C121" s="38" t="s">
        <v>1701</v>
      </c>
      <c r="D121" s="38" t="s">
        <v>4308</v>
      </c>
      <c r="E121" s="69"/>
      <c r="F121" s="69"/>
      <c r="G121" s="7"/>
      <c r="H121" s="7"/>
      <c r="I121" s="7"/>
    </row>
    <row r="122" spans="1:9" s="38" customFormat="1" x14ac:dyDescent="0.3">
      <c r="A122" s="38" t="s">
        <v>4568</v>
      </c>
      <c r="B122" s="97">
        <v>43273</v>
      </c>
      <c r="C122" s="38" t="s">
        <v>4309</v>
      </c>
      <c r="D122" s="38" t="s">
        <v>4310</v>
      </c>
      <c r="E122" s="69"/>
      <c r="F122" s="69"/>
      <c r="G122" s="7"/>
      <c r="H122" s="7"/>
      <c r="I122" s="7"/>
    </row>
    <row r="123" spans="1:9" s="38" customFormat="1" x14ac:dyDescent="0.3">
      <c r="A123" s="38" t="s">
        <v>4568</v>
      </c>
      <c r="B123" s="97">
        <v>43273</v>
      </c>
      <c r="C123" s="38" t="s">
        <v>4311</v>
      </c>
      <c r="D123" s="38" t="s">
        <v>4312</v>
      </c>
      <c r="E123" s="69"/>
      <c r="F123" s="69"/>
      <c r="G123" s="7"/>
      <c r="H123" s="7"/>
      <c r="I123" s="7"/>
    </row>
    <row r="124" spans="1:9" s="38" customFormat="1" x14ac:dyDescent="0.3">
      <c r="A124" s="38" t="s">
        <v>4568</v>
      </c>
      <c r="B124" s="97">
        <v>43273</v>
      </c>
      <c r="C124" s="38" t="s">
        <v>4313</v>
      </c>
      <c r="D124" s="38" t="s">
        <v>4314</v>
      </c>
      <c r="E124" s="69"/>
      <c r="F124" s="69"/>
      <c r="G124" s="7"/>
      <c r="H124" s="7"/>
      <c r="I124" s="7"/>
    </row>
    <row r="125" spans="1:9" s="38" customFormat="1" x14ac:dyDescent="0.3">
      <c r="A125" s="38" t="s">
        <v>4568</v>
      </c>
      <c r="B125" s="97">
        <v>43273</v>
      </c>
      <c r="C125" s="38" t="s">
        <v>4315</v>
      </c>
      <c r="D125" s="38" t="s">
        <v>4316</v>
      </c>
      <c r="E125" s="69"/>
      <c r="F125" s="69"/>
      <c r="G125" s="7"/>
      <c r="H125" s="7"/>
      <c r="I125" s="7"/>
    </row>
    <row r="126" spans="1:9" s="38" customFormat="1" x14ac:dyDescent="0.3">
      <c r="A126" s="38" t="s">
        <v>4568</v>
      </c>
      <c r="B126" s="97">
        <v>43273</v>
      </c>
      <c r="C126" s="38" t="s">
        <v>1613</v>
      </c>
      <c r="D126" s="38" t="s">
        <v>3168</v>
      </c>
      <c r="E126" s="69"/>
      <c r="F126" s="69"/>
      <c r="G126" s="7"/>
      <c r="H126" s="7"/>
      <c r="I126" s="7"/>
    </row>
    <row r="127" spans="1:9" s="38" customFormat="1" x14ac:dyDescent="0.3">
      <c r="A127" s="38" t="s">
        <v>4568</v>
      </c>
      <c r="B127" s="97">
        <v>43273</v>
      </c>
      <c r="C127" s="38" t="s">
        <v>1716</v>
      </c>
      <c r="D127" s="38" t="s">
        <v>4317</v>
      </c>
      <c r="E127" s="69"/>
      <c r="F127" s="69"/>
      <c r="G127" s="7"/>
      <c r="H127" s="7"/>
      <c r="I127" s="7"/>
    </row>
    <row r="128" spans="1:9" s="38" customFormat="1" x14ac:dyDescent="0.3">
      <c r="A128" s="38" t="s">
        <v>4568</v>
      </c>
      <c r="B128" s="97">
        <v>43273</v>
      </c>
      <c r="C128" s="38" t="s">
        <v>4318</v>
      </c>
      <c r="D128" s="38" t="s">
        <v>4319</v>
      </c>
      <c r="E128" s="69"/>
      <c r="F128" s="69"/>
      <c r="G128" s="7"/>
      <c r="H128" s="7"/>
      <c r="I128" s="7"/>
    </row>
    <row r="129" spans="1:9" s="38" customFormat="1" x14ac:dyDescent="0.3">
      <c r="A129" s="38" t="s">
        <v>4568</v>
      </c>
      <c r="B129" s="97">
        <v>43273</v>
      </c>
      <c r="C129" s="38" t="s">
        <v>4320</v>
      </c>
      <c r="D129" s="38" t="s">
        <v>4321</v>
      </c>
      <c r="E129" s="69"/>
      <c r="F129" s="69"/>
      <c r="G129" s="7"/>
      <c r="H129" s="7"/>
      <c r="I129" s="7"/>
    </row>
    <row r="130" spans="1:9" s="38" customFormat="1" x14ac:dyDescent="0.3">
      <c r="A130" s="38" t="s">
        <v>4568</v>
      </c>
      <c r="B130" s="97">
        <v>43273</v>
      </c>
      <c r="C130" s="38" t="s">
        <v>4322</v>
      </c>
      <c r="D130" s="38" t="s">
        <v>4323</v>
      </c>
      <c r="E130" s="69"/>
      <c r="F130" s="69"/>
      <c r="G130" s="7"/>
      <c r="H130" s="7"/>
      <c r="I130" s="7"/>
    </row>
    <row r="131" spans="1:9" s="38" customFormat="1" x14ac:dyDescent="0.3">
      <c r="A131" s="38" t="s">
        <v>4568</v>
      </c>
      <c r="B131" s="97">
        <v>43273</v>
      </c>
      <c r="C131" s="38" t="s">
        <v>4324</v>
      </c>
      <c r="D131" s="38" t="s">
        <v>4325</v>
      </c>
      <c r="E131" s="69"/>
      <c r="F131" s="69"/>
      <c r="G131" s="7"/>
      <c r="H131" s="7"/>
      <c r="I131" s="7"/>
    </row>
    <row r="132" spans="1:9" s="38" customFormat="1" x14ac:dyDescent="0.3">
      <c r="A132" s="38" t="s">
        <v>4568</v>
      </c>
      <c r="B132" s="97">
        <v>43273</v>
      </c>
      <c r="C132" s="38" t="s">
        <v>1643</v>
      </c>
      <c r="D132" s="38" t="s">
        <v>3178</v>
      </c>
      <c r="E132" s="69"/>
      <c r="F132" s="69"/>
      <c r="G132" s="7"/>
      <c r="H132" s="7"/>
      <c r="I132" s="7"/>
    </row>
    <row r="133" spans="1:9" s="38" customFormat="1" x14ac:dyDescent="0.3">
      <c r="A133" s="38" t="s">
        <v>4568</v>
      </c>
      <c r="B133" s="97">
        <v>43273</v>
      </c>
      <c r="C133" s="38" t="s">
        <v>1760</v>
      </c>
      <c r="D133" s="38" t="s">
        <v>4326</v>
      </c>
      <c r="E133" s="69"/>
      <c r="F133" s="69"/>
      <c r="G133" s="7"/>
      <c r="H133" s="7"/>
      <c r="I133" s="7"/>
    </row>
    <row r="134" spans="1:9" s="38" customFormat="1" x14ac:dyDescent="0.3">
      <c r="A134" s="38" t="s">
        <v>4568</v>
      </c>
      <c r="B134" s="97">
        <v>43273</v>
      </c>
      <c r="C134" s="38" t="s">
        <v>4327</v>
      </c>
      <c r="D134" s="38" t="s">
        <v>4328</v>
      </c>
      <c r="E134" s="69"/>
      <c r="F134" s="69"/>
      <c r="G134" s="7"/>
      <c r="H134" s="7"/>
      <c r="I134" s="7"/>
    </row>
    <row r="135" spans="1:9" s="38" customFormat="1" x14ac:dyDescent="0.3">
      <c r="A135" s="38" t="s">
        <v>4568</v>
      </c>
      <c r="B135" s="97">
        <v>43273</v>
      </c>
      <c r="C135" s="38" t="s">
        <v>4329</v>
      </c>
      <c r="D135" s="38" t="s">
        <v>4330</v>
      </c>
      <c r="E135" s="69"/>
      <c r="F135" s="69"/>
      <c r="G135" s="7"/>
      <c r="H135" s="7"/>
      <c r="I135" s="7"/>
    </row>
    <row r="136" spans="1:9" s="38" customFormat="1" x14ac:dyDescent="0.3">
      <c r="A136" s="38" t="s">
        <v>4568</v>
      </c>
      <c r="B136" s="97">
        <v>43444</v>
      </c>
      <c r="C136" s="38" t="s">
        <v>2345</v>
      </c>
      <c r="D136" s="38" t="s">
        <v>4555</v>
      </c>
      <c r="E136" s="69"/>
      <c r="F136" s="69"/>
      <c r="G136" s="7"/>
      <c r="H136" s="7"/>
      <c r="I136" s="7"/>
    </row>
    <row r="137" spans="1:9" s="38" customFormat="1" x14ac:dyDescent="0.3">
      <c r="A137" s="38" t="s">
        <v>4568</v>
      </c>
      <c r="B137" s="97">
        <v>43444</v>
      </c>
      <c r="C137" s="38" t="s">
        <v>2346</v>
      </c>
      <c r="D137" s="38" t="s">
        <v>4556</v>
      </c>
      <c r="E137" s="69"/>
      <c r="F137" s="69"/>
      <c r="G137" s="7"/>
      <c r="H137" s="7"/>
      <c r="I137" s="7"/>
    </row>
    <row r="138" spans="1:9" s="38" customFormat="1" x14ac:dyDescent="0.3">
      <c r="A138" s="38" t="s">
        <v>4568</v>
      </c>
      <c r="B138" s="97">
        <v>43444</v>
      </c>
      <c r="C138" s="38" t="s">
        <v>2347</v>
      </c>
      <c r="D138" s="38" t="s">
        <v>4557</v>
      </c>
      <c r="E138" s="69"/>
      <c r="F138" s="69"/>
      <c r="G138" s="7"/>
      <c r="H138" s="7"/>
      <c r="I138" s="7"/>
    </row>
    <row r="139" spans="1:9" s="38" customFormat="1" x14ac:dyDescent="0.3">
      <c r="A139" s="38" t="s">
        <v>4568</v>
      </c>
      <c r="B139" s="97">
        <v>43444</v>
      </c>
      <c r="C139" s="38" t="s">
        <v>2348</v>
      </c>
      <c r="D139" s="38" t="s">
        <v>4558</v>
      </c>
      <c r="E139" s="69"/>
      <c r="F139" s="69"/>
      <c r="G139" s="7"/>
      <c r="H139" s="7"/>
      <c r="I139" s="7"/>
    </row>
    <row r="140" spans="1:9" s="38" customFormat="1" x14ac:dyDescent="0.3">
      <c r="A140" s="38" t="s">
        <v>4568</v>
      </c>
      <c r="B140" s="97">
        <v>43451</v>
      </c>
      <c r="C140" s="38" t="s">
        <v>4559</v>
      </c>
      <c r="D140" s="38" t="s">
        <v>4560</v>
      </c>
      <c r="E140" s="69"/>
      <c r="F140" s="69"/>
      <c r="G140" s="7"/>
      <c r="H140" s="7"/>
      <c r="I140" s="7"/>
    </row>
    <row r="141" spans="1:9" s="38" customFormat="1" x14ac:dyDescent="0.3">
      <c r="A141" s="38" t="s">
        <v>4568</v>
      </c>
      <c r="B141" s="97">
        <v>43451</v>
      </c>
      <c r="C141" s="38" t="s">
        <v>4561</v>
      </c>
      <c r="D141" s="38" t="s">
        <v>4562</v>
      </c>
      <c r="E141" s="69"/>
      <c r="F141" s="69"/>
      <c r="G141" s="7"/>
      <c r="H141" s="7"/>
      <c r="I141" s="7"/>
    </row>
    <row r="142" spans="1:9" s="38" customFormat="1" x14ac:dyDescent="0.3">
      <c r="A142" s="38" t="s">
        <v>4568</v>
      </c>
      <c r="B142" s="97">
        <v>43451</v>
      </c>
      <c r="C142" s="38" t="s">
        <v>1392</v>
      </c>
      <c r="D142" s="38" t="s">
        <v>1394</v>
      </c>
      <c r="E142" s="69"/>
      <c r="F142" s="69"/>
      <c r="G142" s="7"/>
      <c r="H142" s="7"/>
      <c r="I142" s="7"/>
    </row>
    <row r="143" spans="1:9" s="38" customFormat="1" x14ac:dyDescent="0.3">
      <c r="A143" s="38" t="s">
        <v>4568</v>
      </c>
      <c r="B143" s="97">
        <v>43451</v>
      </c>
      <c r="C143" s="38" t="s">
        <v>4563</v>
      </c>
      <c r="D143" s="38" t="s">
        <v>4564</v>
      </c>
      <c r="E143" s="69"/>
      <c r="F143" s="69"/>
      <c r="G143" s="7"/>
      <c r="H143" s="7"/>
      <c r="I143" s="7"/>
    </row>
    <row r="144" spans="1:9" s="38" customFormat="1" x14ac:dyDescent="0.3">
      <c r="A144" s="38" t="s">
        <v>4568</v>
      </c>
      <c r="B144" s="97">
        <v>43451</v>
      </c>
      <c r="C144" s="38" t="s">
        <v>4565</v>
      </c>
      <c r="D144" s="38" t="s">
        <v>4566</v>
      </c>
      <c r="E144" s="69"/>
      <c r="F144" s="69"/>
      <c r="G144" s="7"/>
      <c r="H144" s="7"/>
      <c r="I144" s="7"/>
    </row>
    <row r="145" spans="1:9" s="38" customFormat="1" x14ac:dyDescent="0.3">
      <c r="A145" s="38" t="s">
        <v>4568</v>
      </c>
      <c r="B145" s="97">
        <v>43451</v>
      </c>
      <c r="C145" s="38" t="s">
        <v>1395</v>
      </c>
      <c r="D145" s="38" t="s">
        <v>1397</v>
      </c>
      <c r="E145" s="69"/>
      <c r="F145" s="69"/>
      <c r="G145" s="7"/>
      <c r="H145" s="7"/>
      <c r="I145" s="7"/>
    </row>
    <row r="146" spans="1:9" s="84" customFormat="1" x14ac:dyDescent="0.3">
      <c r="A146" s="38" t="s">
        <v>4568</v>
      </c>
      <c r="B146" s="97"/>
      <c r="C146" s="28"/>
      <c r="D146" s="28"/>
      <c r="E146"/>
      <c r="F146"/>
      <c r="G146"/>
    </row>
    <row r="147" spans="1:9" s="84" customFormat="1" x14ac:dyDescent="0.3">
      <c r="A147" s="84" t="s">
        <v>4574</v>
      </c>
      <c r="B147" s="99" t="s">
        <v>3836</v>
      </c>
      <c r="C147" s="6" t="str">
        <f>"Change in code ("&amp;COUNTA(C148:C159)&amp;")"</f>
        <v>Change in code (11)</v>
      </c>
      <c r="D147" s="6" t="s">
        <v>28</v>
      </c>
      <c r="E147" s="6" t="s">
        <v>114</v>
      </c>
      <c r="F147"/>
      <c r="G147"/>
    </row>
    <row r="148" spans="1:9" s="84" customFormat="1" x14ac:dyDescent="0.3">
      <c r="A148" s="84" t="s">
        <v>4569</v>
      </c>
      <c r="B148" s="97">
        <v>43173</v>
      </c>
      <c r="C148" s="7" t="s">
        <v>1594</v>
      </c>
      <c r="D148" s="38" t="s">
        <v>3161</v>
      </c>
      <c r="E148" t="s">
        <v>4142</v>
      </c>
      <c r="F148"/>
      <c r="G148"/>
    </row>
    <row r="149" spans="1:9" s="84" customFormat="1" x14ac:dyDescent="0.3">
      <c r="A149" s="84" t="s">
        <v>4569</v>
      </c>
      <c r="B149" s="97">
        <v>43179</v>
      </c>
      <c r="C149" s="84" t="s">
        <v>3902</v>
      </c>
      <c r="D149" s="38" t="s">
        <v>4149</v>
      </c>
      <c r="E149" s="7" t="s">
        <v>4148</v>
      </c>
      <c r="F149"/>
      <c r="G149"/>
    </row>
    <row r="150" spans="1:9" s="84" customFormat="1" x14ac:dyDescent="0.3">
      <c r="A150" s="84" t="s">
        <v>4569</v>
      </c>
      <c r="B150" s="97">
        <v>43179</v>
      </c>
      <c r="C150" s="84" t="s">
        <v>3905</v>
      </c>
      <c r="D150" s="38" t="s">
        <v>4151</v>
      </c>
      <c r="E150" s="7" t="s">
        <v>4150</v>
      </c>
      <c r="F150"/>
      <c r="G150"/>
    </row>
    <row r="151" spans="1:9" s="84" customFormat="1" x14ac:dyDescent="0.3">
      <c r="A151" s="84" t="s">
        <v>4569</v>
      </c>
      <c r="B151" s="97">
        <v>43179</v>
      </c>
      <c r="C151" s="84" t="s">
        <v>3887</v>
      </c>
      <c r="D151" s="38" t="s">
        <v>4153</v>
      </c>
      <c r="E151" s="7" t="s">
        <v>4152</v>
      </c>
      <c r="F151"/>
      <c r="G151"/>
    </row>
    <row r="152" spans="1:9" s="84" customFormat="1" x14ac:dyDescent="0.3">
      <c r="A152" s="84" t="s">
        <v>4569</v>
      </c>
      <c r="B152" s="97">
        <v>43179</v>
      </c>
      <c r="C152" s="84" t="s">
        <v>3884</v>
      </c>
      <c r="D152" s="38" t="s">
        <v>4155</v>
      </c>
      <c r="E152" s="7" t="s">
        <v>4154</v>
      </c>
      <c r="F152"/>
      <c r="G152"/>
    </row>
    <row r="153" spans="1:9" s="84" customFormat="1" x14ac:dyDescent="0.3">
      <c r="A153" s="84" t="s">
        <v>4569</v>
      </c>
      <c r="B153" s="97">
        <v>43179</v>
      </c>
      <c r="C153" s="84" t="s">
        <v>3893</v>
      </c>
      <c r="D153" s="38" t="s">
        <v>4157</v>
      </c>
      <c r="E153" s="7" t="s">
        <v>4156</v>
      </c>
      <c r="F153"/>
      <c r="G153"/>
    </row>
    <row r="154" spans="1:9" s="84" customFormat="1" x14ac:dyDescent="0.3">
      <c r="A154" s="84" t="s">
        <v>4569</v>
      </c>
      <c r="B154" s="97">
        <v>43179</v>
      </c>
      <c r="C154" s="84" t="s">
        <v>3896</v>
      </c>
      <c r="D154" s="38" t="s">
        <v>4159</v>
      </c>
      <c r="E154" s="7" t="s">
        <v>4158</v>
      </c>
      <c r="F154"/>
      <c r="G154"/>
    </row>
    <row r="155" spans="1:9" s="84" customFormat="1" x14ac:dyDescent="0.3">
      <c r="A155" s="84" t="s">
        <v>4569</v>
      </c>
      <c r="B155" s="97">
        <v>43179</v>
      </c>
      <c r="C155" s="84" t="s">
        <v>3899</v>
      </c>
      <c r="D155" s="38" t="s">
        <v>4161</v>
      </c>
      <c r="E155" s="7" t="s">
        <v>4160</v>
      </c>
      <c r="F155"/>
      <c r="G155"/>
    </row>
    <row r="156" spans="1:9" s="84" customFormat="1" x14ac:dyDescent="0.3">
      <c r="A156" s="84" t="s">
        <v>4569</v>
      </c>
      <c r="B156" s="97">
        <v>43179</v>
      </c>
      <c r="C156" s="84" t="s">
        <v>3890</v>
      </c>
      <c r="D156" s="38" t="s">
        <v>4163</v>
      </c>
      <c r="E156" s="7" t="s">
        <v>4162</v>
      </c>
      <c r="F156"/>
      <c r="G156"/>
    </row>
    <row r="157" spans="1:9" s="84" customFormat="1" x14ac:dyDescent="0.3">
      <c r="A157" s="84" t="s">
        <v>4569</v>
      </c>
      <c r="B157" s="97">
        <v>43179</v>
      </c>
      <c r="C157" s="84" t="s">
        <v>3881</v>
      </c>
      <c r="D157" s="38" t="s">
        <v>4165</v>
      </c>
      <c r="E157" s="7" t="s">
        <v>4164</v>
      </c>
      <c r="F157"/>
      <c r="G157"/>
    </row>
    <row r="158" spans="1:9" s="84" customFormat="1" x14ac:dyDescent="0.3">
      <c r="A158" s="84" t="s">
        <v>4569</v>
      </c>
      <c r="B158" s="97">
        <v>43085</v>
      </c>
      <c r="C158" s="7" t="s">
        <v>4074</v>
      </c>
      <c r="D158" s="7" t="s">
        <v>4075</v>
      </c>
      <c r="E158" t="s">
        <v>4167</v>
      </c>
      <c r="F158"/>
      <c r="G158"/>
    </row>
    <row r="159" spans="1:9" s="84" customFormat="1" x14ac:dyDescent="0.3">
      <c r="A159" s="84" t="s">
        <v>4569</v>
      </c>
      <c r="B159" s="97"/>
      <c r="C159" s="7"/>
      <c r="D159" s="7"/>
      <c r="E159"/>
      <c r="F159"/>
      <c r="G159"/>
    </row>
    <row r="160" spans="1:9" s="84" customFormat="1" x14ac:dyDescent="0.3">
      <c r="A160" s="84" t="s">
        <v>4574</v>
      </c>
      <c r="B160" s="99" t="s">
        <v>3836</v>
      </c>
      <c r="C160" s="6" t="str">
        <f>"Change in description ("&amp;COUNTA(C161:C228)&amp;")"</f>
        <v>Change in description (67)</v>
      </c>
      <c r="D160" s="6" t="s">
        <v>115</v>
      </c>
      <c r="E160" s="6" t="s">
        <v>116</v>
      </c>
      <c r="F160"/>
      <c r="G160"/>
    </row>
    <row r="161" spans="1:7" s="84" customFormat="1" x14ac:dyDescent="0.3">
      <c r="A161" s="84" t="s">
        <v>4570</v>
      </c>
      <c r="B161" s="97">
        <v>43139</v>
      </c>
      <c r="C161" s="42" t="s">
        <v>3977</v>
      </c>
      <c r="D161" s="42" t="s">
        <v>4120</v>
      </c>
      <c r="E161" s="42" t="s">
        <v>4121</v>
      </c>
      <c r="F161" s="38"/>
      <c r="G161" s="38"/>
    </row>
    <row r="162" spans="1:7" s="84" customFormat="1" x14ac:dyDescent="0.3">
      <c r="A162" s="84" t="s">
        <v>4570</v>
      </c>
      <c r="B162" s="97">
        <v>43139</v>
      </c>
      <c r="C162" s="42" t="s">
        <v>3980</v>
      </c>
      <c r="D162" s="42" t="s">
        <v>4122</v>
      </c>
      <c r="E162" s="42" t="s">
        <v>4123</v>
      </c>
      <c r="F162" s="38"/>
      <c r="G162" s="38"/>
    </row>
    <row r="163" spans="1:7" s="84" customFormat="1" x14ac:dyDescent="0.3">
      <c r="A163" s="84" t="s">
        <v>4570</v>
      </c>
      <c r="B163" s="97">
        <v>43139</v>
      </c>
      <c r="C163" s="42" t="s">
        <v>3981</v>
      </c>
      <c r="D163" s="42" t="s">
        <v>4124</v>
      </c>
      <c r="E163" s="42" t="s">
        <v>4125</v>
      </c>
      <c r="F163" s="38"/>
      <c r="G163" s="38"/>
    </row>
    <row r="164" spans="1:7" s="84" customFormat="1" x14ac:dyDescent="0.3">
      <c r="A164" s="84" t="s">
        <v>4570</v>
      </c>
      <c r="B164" s="97">
        <v>43139</v>
      </c>
      <c r="C164" s="42" t="s">
        <v>3986</v>
      </c>
      <c r="D164" s="42" t="s">
        <v>4126</v>
      </c>
      <c r="E164" s="42" t="s">
        <v>4127</v>
      </c>
      <c r="F164" s="38"/>
      <c r="G164" s="38"/>
    </row>
    <row r="165" spans="1:7" s="84" customFormat="1" x14ac:dyDescent="0.3">
      <c r="A165" s="84" t="s">
        <v>4570</v>
      </c>
      <c r="B165" s="97">
        <v>43139</v>
      </c>
      <c r="C165" s="42" t="s">
        <v>3988</v>
      </c>
      <c r="D165" s="42" t="s">
        <v>4128</v>
      </c>
      <c r="E165" s="42" t="s">
        <v>4129</v>
      </c>
      <c r="F165" s="38"/>
      <c r="G165" s="38"/>
    </row>
    <row r="166" spans="1:7" s="84" customFormat="1" x14ac:dyDescent="0.3">
      <c r="A166" s="84" t="s">
        <v>4570</v>
      </c>
      <c r="B166" s="97">
        <v>43139</v>
      </c>
      <c r="C166" s="42" t="s">
        <v>3989</v>
      </c>
      <c r="D166" s="42" t="s">
        <v>4130</v>
      </c>
      <c r="E166" s="42" t="s">
        <v>4131</v>
      </c>
      <c r="F166" s="38"/>
      <c r="G166" s="38"/>
    </row>
    <row r="167" spans="1:7" s="84" customFormat="1" x14ac:dyDescent="0.3">
      <c r="A167" s="84" t="s">
        <v>4570</v>
      </c>
      <c r="B167" s="97">
        <v>43125</v>
      </c>
      <c r="C167" s="42" t="s">
        <v>527</v>
      </c>
      <c r="D167" s="42" t="s">
        <v>3648</v>
      </c>
      <c r="E167" s="42" t="s">
        <v>4116</v>
      </c>
      <c r="F167" s="38"/>
      <c r="G167" s="38"/>
    </row>
    <row r="168" spans="1:7" s="84" customFormat="1" x14ac:dyDescent="0.3">
      <c r="A168" s="84" t="s">
        <v>4570</v>
      </c>
      <c r="B168" s="97">
        <v>43125</v>
      </c>
      <c r="C168" s="42" t="s">
        <v>530</v>
      </c>
      <c r="D168" s="42" t="s">
        <v>3649</v>
      </c>
      <c r="E168" s="42" t="s">
        <v>4117</v>
      </c>
      <c r="F168" s="38"/>
      <c r="G168" s="38"/>
    </row>
    <row r="169" spans="1:7" s="84" customFormat="1" x14ac:dyDescent="0.3">
      <c r="A169" s="84" t="s">
        <v>4570</v>
      </c>
      <c r="B169" s="97">
        <v>43125</v>
      </c>
      <c r="C169" s="42" t="s">
        <v>524</v>
      </c>
      <c r="D169" s="42" t="s">
        <v>3140</v>
      </c>
      <c r="E169" s="42" t="s">
        <v>4118</v>
      </c>
      <c r="F169" s="38"/>
      <c r="G169" s="38"/>
    </row>
    <row r="170" spans="1:7" s="84" customFormat="1" x14ac:dyDescent="0.3">
      <c r="A170" s="84" t="s">
        <v>4570</v>
      </c>
      <c r="B170" s="97">
        <v>43125</v>
      </c>
      <c r="C170" s="42" t="s">
        <v>4114</v>
      </c>
      <c r="D170" s="42" t="s">
        <v>4119</v>
      </c>
      <c r="E170" s="42" t="s">
        <v>4115</v>
      </c>
      <c r="F170" s="38"/>
      <c r="G170" s="38"/>
    </row>
    <row r="171" spans="1:7" s="84" customFormat="1" x14ac:dyDescent="0.3">
      <c r="A171" s="84" t="s">
        <v>4570</v>
      </c>
      <c r="B171" s="97">
        <v>43181</v>
      </c>
      <c r="C171" s="42" t="s">
        <v>4136</v>
      </c>
      <c r="D171" s="42" t="s">
        <v>4137</v>
      </c>
      <c r="E171" s="42" t="s">
        <v>4166</v>
      </c>
      <c r="F171" s="38"/>
      <c r="G171" s="38"/>
    </row>
    <row r="172" spans="1:7" s="84" customFormat="1" x14ac:dyDescent="0.3">
      <c r="A172" s="84" t="s">
        <v>4570</v>
      </c>
      <c r="B172" s="97">
        <v>43258</v>
      </c>
      <c r="C172" s="42" t="s">
        <v>4297</v>
      </c>
      <c r="D172" s="42" t="s">
        <v>4298</v>
      </c>
      <c r="E172" s="42" t="s">
        <v>4299</v>
      </c>
      <c r="F172" s="38"/>
      <c r="G172" s="38"/>
    </row>
    <row r="173" spans="1:7" s="84" customFormat="1" x14ac:dyDescent="0.3">
      <c r="A173" s="84" t="s">
        <v>4570</v>
      </c>
      <c r="B173" s="97">
        <v>43258</v>
      </c>
      <c r="C173" s="42" t="s">
        <v>4302</v>
      </c>
      <c r="D173" s="42" t="s">
        <v>4301</v>
      </c>
      <c r="E173" s="42" t="s">
        <v>4300</v>
      </c>
      <c r="F173" s="38"/>
      <c r="G173" s="38"/>
    </row>
    <row r="174" spans="1:7" s="84" customFormat="1" x14ac:dyDescent="0.3">
      <c r="A174" s="84" t="s">
        <v>4570</v>
      </c>
      <c r="B174" s="97">
        <v>43277</v>
      </c>
      <c r="C174" s="42" t="s">
        <v>4347</v>
      </c>
      <c r="D174" s="84" t="s">
        <v>4431</v>
      </c>
      <c r="E174" s="42" t="s">
        <v>4348</v>
      </c>
      <c r="F174" s="38"/>
      <c r="G174" s="38"/>
    </row>
    <row r="175" spans="1:7" s="84" customFormat="1" x14ac:dyDescent="0.3">
      <c r="A175" s="84" t="s">
        <v>4570</v>
      </c>
      <c r="B175" s="97">
        <v>43277</v>
      </c>
      <c r="C175" s="42" t="s">
        <v>4349</v>
      </c>
      <c r="D175" s="84" t="s">
        <v>4432</v>
      </c>
      <c r="E175" s="42" t="s">
        <v>4350</v>
      </c>
      <c r="F175" s="38"/>
      <c r="G175" s="38"/>
    </row>
    <row r="176" spans="1:7" s="84" customFormat="1" x14ac:dyDescent="0.3">
      <c r="A176" s="84" t="s">
        <v>4570</v>
      </c>
      <c r="B176" s="97">
        <v>43277</v>
      </c>
      <c r="C176" s="42" t="s">
        <v>1607</v>
      </c>
      <c r="D176" s="84" t="s">
        <v>3166</v>
      </c>
      <c r="E176" s="42" t="s">
        <v>4351</v>
      </c>
      <c r="F176" s="38"/>
      <c r="G176" s="38"/>
    </row>
    <row r="177" spans="1:7" s="84" customFormat="1" x14ac:dyDescent="0.3">
      <c r="A177" s="84" t="s">
        <v>4570</v>
      </c>
      <c r="B177" s="97">
        <v>43277</v>
      </c>
      <c r="C177" s="42" t="s">
        <v>1706</v>
      </c>
      <c r="D177" s="84" t="s">
        <v>4433</v>
      </c>
      <c r="E177" s="42" t="s">
        <v>4352</v>
      </c>
      <c r="F177" s="38"/>
      <c r="G177" s="38"/>
    </row>
    <row r="178" spans="1:7" s="84" customFormat="1" x14ac:dyDescent="0.3">
      <c r="A178" s="84" t="s">
        <v>4570</v>
      </c>
      <c r="B178" s="97">
        <v>43277</v>
      </c>
      <c r="C178" s="42" t="s">
        <v>4353</v>
      </c>
      <c r="D178" s="84" t="s">
        <v>4434</v>
      </c>
      <c r="E178" s="42" t="s">
        <v>4354</v>
      </c>
      <c r="F178" s="38"/>
      <c r="G178" s="38"/>
    </row>
    <row r="179" spans="1:7" s="84" customFormat="1" x14ac:dyDescent="0.3">
      <c r="A179" s="84" t="s">
        <v>4570</v>
      </c>
      <c r="B179" s="97">
        <v>43277</v>
      </c>
      <c r="C179" s="42" t="s">
        <v>1610</v>
      </c>
      <c r="D179" s="84" t="s">
        <v>3167</v>
      </c>
      <c r="E179" s="42" t="s">
        <v>4355</v>
      </c>
      <c r="F179" s="38"/>
      <c r="G179" s="38"/>
    </row>
    <row r="180" spans="1:7" s="84" customFormat="1" x14ac:dyDescent="0.3">
      <c r="A180" s="84" t="s">
        <v>4570</v>
      </c>
      <c r="B180" s="97">
        <v>43277</v>
      </c>
      <c r="C180" s="42" t="s">
        <v>1711</v>
      </c>
      <c r="D180" s="84" t="s">
        <v>4435</v>
      </c>
      <c r="E180" s="42" t="s">
        <v>4356</v>
      </c>
      <c r="F180" s="38"/>
      <c r="G180" s="38"/>
    </row>
    <row r="181" spans="1:7" s="84" customFormat="1" x14ac:dyDescent="0.3">
      <c r="A181" s="84" t="s">
        <v>4570</v>
      </c>
      <c r="B181" s="97">
        <v>43277</v>
      </c>
      <c r="C181" s="42" t="s">
        <v>2073</v>
      </c>
      <c r="D181" s="84" t="s">
        <v>4436</v>
      </c>
      <c r="E181" s="42" t="s">
        <v>4357</v>
      </c>
      <c r="F181" s="38"/>
      <c r="G181" s="38"/>
    </row>
    <row r="182" spans="1:7" s="84" customFormat="1" x14ac:dyDescent="0.3">
      <c r="A182" s="84" t="s">
        <v>4570</v>
      </c>
      <c r="B182" s="97">
        <v>43277</v>
      </c>
      <c r="C182" s="42" t="s">
        <v>2043</v>
      </c>
      <c r="D182" s="84" t="s">
        <v>2044</v>
      </c>
      <c r="E182" s="42" t="s">
        <v>4358</v>
      </c>
      <c r="F182" s="38"/>
      <c r="G182" s="38"/>
    </row>
    <row r="183" spans="1:7" s="84" customFormat="1" x14ac:dyDescent="0.3">
      <c r="A183" s="84" t="s">
        <v>4570</v>
      </c>
      <c r="B183" s="97">
        <v>43277</v>
      </c>
      <c r="C183" s="42" t="s">
        <v>4142</v>
      </c>
      <c r="D183" s="84" t="s">
        <v>4218</v>
      </c>
      <c r="E183" s="42" t="s">
        <v>4359</v>
      </c>
      <c r="F183" s="38"/>
      <c r="G183" s="38"/>
    </row>
    <row r="184" spans="1:7" s="84" customFormat="1" x14ac:dyDescent="0.3">
      <c r="A184" s="84" t="s">
        <v>4570</v>
      </c>
      <c r="B184" s="97">
        <v>43277</v>
      </c>
      <c r="C184" s="42" t="s">
        <v>4360</v>
      </c>
      <c r="D184" s="84" t="s">
        <v>4437</v>
      </c>
      <c r="E184" s="42" t="s">
        <v>4361</v>
      </c>
      <c r="F184" s="38"/>
      <c r="G184" s="38"/>
    </row>
    <row r="185" spans="1:7" s="84" customFormat="1" x14ac:dyDescent="0.3">
      <c r="A185" s="84" t="s">
        <v>4570</v>
      </c>
      <c r="B185" s="97">
        <v>43277</v>
      </c>
      <c r="C185" s="42" t="s">
        <v>4362</v>
      </c>
      <c r="D185" s="84" t="s">
        <v>4438</v>
      </c>
      <c r="E185" s="42" t="s">
        <v>4363</v>
      </c>
      <c r="F185" s="38"/>
      <c r="G185" s="38"/>
    </row>
    <row r="186" spans="1:7" s="84" customFormat="1" x14ac:dyDescent="0.3">
      <c r="A186" s="84" t="s">
        <v>4570</v>
      </c>
      <c r="B186" s="97">
        <v>43277</v>
      </c>
      <c r="C186" s="42" t="s">
        <v>1634</v>
      </c>
      <c r="D186" s="84" t="s">
        <v>3175</v>
      </c>
      <c r="E186" s="42" t="s">
        <v>4364</v>
      </c>
      <c r="F186" s="38"/>
      <c r="G186" s="38"/>
    </row>
    <row r="187" spans="1:7" s="84" customFormat="1" x14ac:dyDescent="0.3">
      <c r="A187" s="84" t="s">
        <v>4570</v>
      </c>
      <c r="B187" s="97">
        <v>43277</v>
      </c>
      <c r="C187" s="42" t="s">
        <v>1745</v>
      </c>
      <c r="D187" s="84" t="s">
        <v>4439</v>
      </c>
      <c r="E187" s="42" t="s">
        <v>4365</v>
      </c>
      <c r="F187" s="38"/>
      <c r="G187" s="38"/>
    </row>
    <row r="188" spans="1:7" s="84" customFormat="1" x14ac:dyDescent="0.3">
      <c r="A188" s="84" t="s">
        <v>4570</v>
      </c>
      <c r="B188" s="97">
        <v>43277</v>
      </c>
      <c r="C188" s="42" t="s">
        <v>4366</v>
      </c>
      <c r="D188" s="84" t="s">
        <v>4440</v>
      </c>
      <c r="E188" s="42" t="s">
        <v>4367</v>
      </c>
      <c r="F188" s="38"/>
      <c r="G188" s="38"/>
    </row>
    <row r="189" spans="1:7" s="84" customFormat="1" x14ac:dyDescent="0.3">
      <c r="A189" s="84" t="s">
        <v>4570</v>
      </c>
      <c r="B189" s="97">
        <v>43277</v>
      </c>
      <c r="C189" s="42" t="s">
        <v>4368</v>
      </c>
      <c r="D189" s="84" t="s">
        <v>4441</v>
      </c>
      <c r="E189" s="42" t="s">
        <v>4369</v>
      </c>
      <c r="F189" s="38"/>
      <c r="G189" s="38"/>
    </row>
    <row r="190" spans="1:7" s="84" customFormat="1" x14ac:dyDescent="0.3">
      <c r="A190" s="84" t="s">
        <v>4570</v>
      </c>
      <c r="B190" s="97">
        <v>43277</v>
      </c>
      <c r="C190" s="42" t="s">
        <v>4143</v>
      </c>
      <c r="D190" s="84" t="s">
        <v>4442</v>
      </c>
      <c r="E190" s="42" t="s">
        <v>4370</v>
      </c>
      <c r="F190" s="38"/>
      <c r="G190" s="38"/>
    </row>
    <row r="191" spans="1:7" s="84" customFormat="1" x14ac:dyDescent="0.3">
      <c r="A191" s="84" t="s">
        <v>4570</v>
      </c>
      <c r="B191" s="97">
        <v>43277</v>
      </c>
      <c r="C191" s="42" t="s">
        <v>4371</v>
      </c>
      <c r="D191" s="84" t="s">
        <v>4443</v>
      </c>
      <c r="E191" s="42" t="s">
        <v>4372</v>
      </c>
      <c r="F191" s="38"/>
      <c r="G191" s="38"/>
    </row>
    <row r="192" spans="1:7" s="84" customFormat="1" x14ac:dyDescent="0.3">
      <c r="A192" s="84" t="s">
        <v>4570</v>
      </c>
      <c r="B192" s="97">
        <v>43277</v>
      </c>
      <c r="C192" s="42" t="s">
        <v>4373</v>
      </c>
      <c r="D192" s="84" t="s">
        <v>4444</v>
      </c>
      <c r="E192" s="42" t="s">
        <v>4374</v>
      </c>
      <c r="F192" s="38"/>
      <c r="G192" s="38"/>
    </row>
    <row r="193" spans="1:7" s="84" customFormat="1" x14ac:dyDescent="0.3">
      <c r="A193" s="84" t="s">
        <v>4570</v>
      </c>
      <c r="B193" s="97">
        <v>43277</v>
      </c>
      <c r="C193" s="42" t="s">
        <v>4375</v>
      </c>
      <c r="D193" s="84" t="s">
        <v>4445</v>
      </c>
      <c r="E193" s="42" t="s">
        <v>4376</v>
      </c>
      <c r="F193" s="38"/>
      <c r="G193" s="38"/>
    </row>
    <row r="194" spans="1:7" s="84" customFormat="1" x14ac:dyDescent="0.3">
      <c r="A194" s="84" t="s">
        <v>4570</v>
      </c>
      <c r="B194" s="97">
        <v>43277</v>
      </c>
      <c r="C194" s="42" t="s">
        <v>4377</v>
      </c>
      <c r="D194" s="84" t="s">
        <v>4446</v>
      </c>
      <c r="E194" s="42" t="s">
        <v>4378</v>
      </c>
      <c r="F194" s="38"/>
      <c r="G194" s="38"/>
    </row>
    <row r="195" spans="1:7" s="84" customFormat="1" x14ac:dyDescent="0.3">
      <c r="A195" s="84" t="s">
        <v>4570</v>
      </c>
      <c r="B195" s="97">
        <v>43277</v>
      </c>
      <c r="C195" s="42" t="s">
        <v>4379</v>
      </c>
      <c r="D195" s="84" t="s">
        <v>4447</v>
      </c>
      <c r="E195" s="42" t="s">
        <v>4380</v>
      </c>
      <c r="F195" s="38"/>
      <c r="G195" s="38"/>
    </row>
    <row r="196" spans="1:7" s="84" customFormat="1" x14ac:dyDescent="0.3">
      <c r="A196" s="84" t="s">
        <v>4570</v>
      </c>
      <c r="B196" s="97">
        <v>43277</v>
      </c>
      <c r="C196" s="42" t="s">
        <v>1640</v>
      </c>
      <c r="D196" s="84" t="s">
        <v>3177</v>
      </c>
      <c r="E196" s="42" t="s">
        <v>4381</v>
      </c>
      <c r="F196" s="38"/>
      <c r="G196" s="38"/>
    </row>
    <row r="197" spans="1:7" s="84" customFormat="1" x14ac:dyDescent="0.3">
      <c r="A197" s="84" t="s">
        <v>4570</v>
      </c>
      <c r="B197" s="97">
        <v>43277</v>
      </c>
      <c r="C197" s="42" t="s">
        <v>1755</v>
      </c>
      <c r="D197" s="84" t="s">
        <v>4448</v>
      </c>
      <c r="E197" s="42" t="s">
        <v>4382</v>
      </c>
      <c r="F197" s="38"/>
      <c r="G197" s="38"/>
    </row>
    <row r="198" spans="1:7" s="84" customFormat="1" x14ac:dyDescent="0.3">
      <c r="A198" s="84" t="s">
        <v>4570</v>
      </c>
      <c r="B198" s="97">
        <v>43277</v>
      </c>
      <c r="C198" s="42" t="s">
        <v>4383</v>
      </c>
      <c r="D198" s="84" t="s">
        <v>4449</v>
      </c>
      <c r="E198" s="42" t="s">
        <v>4384</v>
      </c>
      <c r="F198" s="38"/>
      <c r="G198" s="38"/>
    </row>
    <row r="199" spans="1:7" s="84" customFormat="1" x14ac:dyDescent="0.3">
      <c r="A199" s="84" t="s">
        <v>4570</v>
      </c>
      <c r="B199" s="97">
        <v>43277</v>
      </c>
      <c r="C199" s="42" t="s">
        <v>4385</v>
      </c>
      <c r="D199" s="84" t="s">
        <v>4450</v>
      </c>
      <c r="E199" s="42" t="s">
        <v>4386</v>
      </c>
      <c r="F199" s="38"/>
      <c r="G199" s="38"/>
    </row>
    <row r="200" spans="1:7" s="84" customFormat="1" x14ac:dyDescent="0.3">
      <c r="A200" s="84" t="s">
        <v>4570</v>
      </c>
      <c r="B200" s="97">
        <v>43277</v>
      </c>
      <c r="C200" s="42" t="s">
        <v>4037</v>
      </c>
      <c r="D200" s="84" t="s">
        <v>4451</v>
      </c>
      <c r="E200" s="42" t="s">
        <v>4387</v>
      </c>
      <c r="F200" s="38"/>
      <c r="G200" s="38"/>
    </row>
    <row r="201" spans="1:7" s="84" customFormat="1" x14ac:dyDescent="0.3">
      <c r="A201" s="84" t="s">
        <v>4570</v>
      </c>
      <c r="B201" s="97">
        <v>43277</v>
      </c>
      <c r="C201" s="42" t="s">
        <v>4388</v>
      </c>
      <c r="D201" s="84" t="s">
        <v>4452</v>
      </c>
      <c r="E201" s="42" t="s">
        <v>4389</v>
      </c>
      <c r="F201" s="38"/>
      <c r="G201" s="38"/>
    </row>
    <row r="202" spans="1:7" s="84" customFormat="1" x14ac:dyDescent="0.3">
      <c r="A202" s="84" t="s">
        <v>4570</v>
      </c>
      <c r="B202" s="97">
        <v>43277</v>
      </c>
      <c r="C202" s="42" t="s">
        <v>4390</v>
      </c>
      <c r="D202" s="84" t="s">
        <v>4452</v>
      </c>
      <c r="E202" s="42" t="s">
        <v>4391</v>
      </c>
      <c r="F202" s="38"/>
      <c r="G202" s="38"/>
    </row>
    <row r="203" spans="1:7" s="84" customFormat="1" x14ac:dyDescent="0.3">
      <c r="A203" s="84" t="s">
        <v>4570</v>
      </c>
      <c r="B203" s="97">
        <v>43277</v>
      </c>
      <c r="C203" s="42" t="s">
        <v>4392</v>
      </c>
      <c r="D203" s="84" t="s">
        <v>4453</v>
      </c>
      <c r="E203" s="42" t="s">
        <v>4393</v>
      </c>
      <c r="F203" s="38"/>
      <c r="G203" s="38"/>
    </row>
    <row r="204" spans="1:7" s="84" customFormat="1" x14ac:dyDescent="0.3">
      <c r="A204" s="84" t="s">
        <v>4570</v>
      </c>
      <c r="B204" s="97">
        <v>43277</v>
      </c>
      <c r="C204" s="42" t="s">
        <v>4394</v>
      </c>
      <c r="D204" s="84" t="s">
        <v>4454</v>
      </c>
      <c r="E204" s="42" t="s">
        <v>4395</v>
      </c>
      <c r="F204" s="38"/>
      <c r="G204" s="38"/>
    </row>
    <row r="205" spans="1:7" s="84" customFormat="1" x14ac:dyDescent="0.3">
      <c r="A205" s="84" t="s">
        <v>4570</v>
      </c>
      <c r="B205" s="97">
        <v>43277</v>
      </c>
      <c r="C205" s="42" t="s">
        <v>4396</v>
      </c>
      <c r="D205" s="84" t="s">
        <v>4455</v>
      </c>
      <c r="E205" s="42" t="s">
        <v>4397</v>
      </c>
      <c r="F205" s="38"/>
      <c r="G205" s="38"/>
    </row>
    <row r="206" spans="1:7" s="84" customFormat="1" x14ac:dyDescent="0.3">
      <c r="A206" s="84" t="s">
        <v>4570</v>
      </c>
      <c r="B206" s="97">
        <v>43277</v>
      </c>
      <c r="C206" s="42" t="s">
        <v>4398</v>
      </c>
      <c r="D206" s="84" t="s">
        <v>4456</v>
      </c>
      <c r="E206" s="42" t="s">
        <v>4399</v>
      </c>
      <c r="F206" s="38"/>
      <c r="G206" s="38"/>
    </row>
    <row r="207" spans="1:7" s="84" customFormat="1" x14ac:dyDescent="0.3">
      <c r="A207" s="84" t="s">
        <v>4570</v>
      </c>
      <c r="B207" s="97">
        <v>43277</v>
      </c>
      <c r="C207" s="42" t="s">
        <v>4400</v>
      </c>
      <c r="D207" s="84" t="s">
        <v>4457</v>
      </c>
      <c r="E207" s="42" t="s">
        <v>4401</v>
      </c>
      <c r="F207" s="38"/>
      <c r="G207" s="38"/>
    </row>
    <row r="208" spans="1:7" s="84" customFormat="1" x14ac:dyDescent="0.3">
      <c r="A208" s="84" t="s">
        <v>4570</v>
      </c>
      <c r="B208" s="97">
        <v>43277</v>
      </c>
      <c r="C208" s="42" t="s">
        <v>4402</v>
      </c>
      <c r="D208" s="84" t="s">
        <v>4458</v>
      </c>
      <c r="E208" s="42" t="s">
        <v>4403</v>
      </c>
      <c r="F208" s="38"/>
      <c r="G208" s="38"/>
    </row>
    <row r="209" spans="1:7" s="84" customFormat="1" x14ac:dyDescent="0.3">
      <c r="A209" s="84" t="s">
        <v>4570</v>
      </c>
      <c r="B209" s="97">
        <v>43277</v>
      </c>
      <c r="C209" s="42" t="s">
        <v>4404</v>
      </c>
      <c r="D209" s="84" t="s">
        <v>4459</v>
      </c>
      <c r="E209" s="42" t="s">
        <v>4405</v>
      </c>
      <c r="F209" s="38"/>
      <c r="G209" s="38"/>
    </row>
    <row r="210" spans="1:7" s="84" customFormat="1" x14ac:dyDescent="0.3">
      <c r="A210" s="84" t="s">
        <v>4570</v>
      </c>
      <c r="B210" s="97">
        <v>43277</v>
      </c>
      <c r="C210" s="42" t="s">
        <v>4406</v>
      </c>
      <c r="D210" s="84" t="s">
        <v>4460</v>
      </c>
      <c r="E210" s="42" t="s">
        <v>4407</v>
      </c>
      <c r="F210" s="38"/>
      <c r="G210" s="38"/>
    </row>
    <row r="211" spans="1:7" s="84" customFormat="1" x14ac:dyDescent="0.3">
      <c r="A211" s="84" t="s">
        <v>4570</v>
      </c>
      <c r="B211" s="97">
        <v>43277</v>
      </c>
      <c r="C211" s="42" t="s">
        <v>4408</v>
      </c>
      <c r="D211" s="84" t="s">
        <v>4461</v>
      </c>
      <c r="E211" s="42" t="s">
        <v>4409</v>
      </c>
      <c r="F211" s="38"/>
      <c r="G211" s="38"/>
    </row>
    <row r="212" spans="1:7" s="84" customFormat="1" x14ac:dyDescent="0.3">
      <c r="A212" s="84" t="s">
        <v>4570</v>
      </c>
      <c r="B212" s="97">
        <v>43277</v>
      </c>
      <c r="C212" s="42" t="s">
        <v>1647</v>
      </c>
      <c r="D212" s="84" t="s">
        <v>3181</v>
      </c>
      <c r="E212" s="42" t="s">
        <v>4410</v>
      </c>
      <c r="F212" s="38"/>
      <c r="G212" s="38"/>
    </row>
    <row r="213" spans="1:7" s="84" customFormat="1" x14ac:dyDescent="0.3">
      <c r="A213" s="84" t="s">
        <v>4570</v>
      </c>
      <c r="B213" s="97">
        <v>43277</v>
      </c>
      <c r="C213" s="42" t="s">
        <v>4411</v>
      </c>
      <c r="D213" s="84" t="s">
        <v>4462</v>
      </c>
      <c r="E213" s="42" t="s">
        <v>4412</v>
      </c>
      <c r="F213" s="38"/>
      <c r="G213" s="38"/>
    </row>
    <row r="214" spans="1:7" s="84" customFormat="1" x14ac:dyDescent="0.3">
      <c r="A214" s="84" t="s">
        <v>4570</v>
      </c>
      <c r="B214" s="97">
        <v>43277</v>
      </c>
      <c r="C214" s="42" t="s">
        <v>4413</v>
      </c>
      <c r="D214" s="84" t="s">
        <v>4463</v>
      </c>
      <c r="E214" s="42" t="s">
        <v>4414</v>
      </c>
      <c r="F214" s="38"/>
      <c r="G214" s="38"/>
    </row>
    <row r="215" spans="1:7" s="84" customFormat="1" x14ac:dyDescent="0.3">
      <c r="A215" s="84" t="s">
        <v>4570</v>
      </c>
      <c r="B215" s="97">
        <v>43277</v>
      </c>
      <c r="C215" s="42" t="s">
        <v>4415</v>
      </c>
      <c r="D215" s="84" t="s">
        <v>4464</v>
      </c>
      <c r="E215" s="42" t="s">
        <v>4416</v>
      </c>
      <c r="F215" s="38"/>
      <c r="G215" s="38"/>
    </row>
    <row r="216" spans="1:7" s="84" customFormat="1" x14ac:dyDescent="0.3">
      <c r="A216" s="84" t="s">
        <v>4570</v>
      </c>
      <c r="B216" s="97">
        <v>43277</v>
      </c>
      <c r="C216" s="42" t="s">
        <v>4417</v>
      </c>
      <c r="D216" s="84" t="s">
        <v>4465</v>
      </c>
      <c r="E216" s="42" t="s">
        <v>4418</v>
      </c>
      <c r="F216" s="38"/>
      <c r="G216" s="38"/>
    </row>
    <row r="217" spans="1:7" s="84" customFormat="1" x14ac:dyDescent="0.3">
      <c r="A217" s="84" t="s">
        <v>4570</v>
      </c>
      <c r="B217" s="97">
        <v>43277</v>
      </c>
      <c r="C217" s="42" t="s">
        <v>4419</v>
      </c>
      <c r="D217" s="84" t="s">
        <v>4466</v>
      </c>
      <c r="E217" s="42" t="s">
        <v>4420</v>
      </c>
      <c r="F217" s="38"/>
      <c r="G217" s="38"/>
    </row>
    <row r="218" spans="1:7" s="84" customFormat="1" x14ac:dyDescent="0.3">
      <c r="A218" s="84" t="s">
        <v>4570</v>
      </c>
      <c r="B218" s="97">
        <v>43277</v>
      </c>
      <c r="C218" s="42" t="s">
        <v>4421</v>
      </c>
      <c r="D218" s="84" t="s">
        <v>4467</v>
      </c>
      <c r="E218" s="42" t="s">
        <v>4422</v>
      </c>
      <c r="F218" s="38"/>
      <c r="G218" s="38"/>
    </row>
    <row r="219" spans="1:7" s="84" customFormat="1" x14ac:dyDescent="0.3">
      <c r="A219" s="84" t="s">
        <v>4570</v>
      </c>
      <c r="B219" s="97">
        <v>43277</v>
      </c>
      <c r="C219" s="42" t="s">
        <v>4423</v>
      </c>
      <c r="D219" s="84" t="s">
        <v>4468</v>
      </c>
      <c r="E219" s="42" t="s">
        <v>4424</v>
      </c>
      <c r="F219" s="38"/>
      <c r="G219" s="38"/>
    </row>
    <row r="220" spans="1:7" s="84" customFormat="1" x14ac:dyDescent="0.3">
      <c r="A220" s="84" t="s">
        <v>4570</v>
      </c>
      <c r="B220" s="97">
        <v>43277</v>
      </c>
      <c r="C220" s="42" t="s">
        <v>4425</v>
      </c>
      <c r="D220" s="84" t="s">
        <v>4469</v>
      </c>
      <c r="E220" s="42" t="s">
        <v>4426</v>
      </c>
      <c r="F220" s="38"/>
      <c r="G220" s="38"/>
    </row>
    <row r="221" spans="1:7" s="84" customFormat="1" x14ac:dyDescent="0.3">
      <c r="A221" s="84" t="s">
        <v>4570</v>
      </c>
      <c r="B221" s="97">
        <v>43277</v>
      </c>
      <c r="C221" s="42" t="s">
        <v>4427</v>
      </c>
      <c r="D221" s="84" t="s">
        <v>4470</v>
      </c>
      <c r="E221" s="42" t="s">
        <v>4428</v>
      </c>
      <c r="F221" s="38"/>
      <c r="G221" s="38"/>
    </row>
    <row r="222" spans="1:7" s="84" customFormat="1" x14ac:dyDescent="0.3">
      <c r="A222" s="84" t="s">
        <v>4570</v>
      </c>
      <c r="B222" s="97">
        <v>43277</v>
      </c>
      <c r="C222" s="42" t="s">
        <v>4429</v>
      </c>
      <c r="D222" s="84" t="s">
        <v>4471</v>
      </c>
      <c r="E222" s="42" t="s">
        <v>4430</v>
      </c>
      <c r="F222" s="38"/>
      <c r="G222" s="38"/>
    </row>
    <row r="223" spans="1:7" s="84" customFormat="1" x14ac:dyDescent="0.3">
      <c r="A223" s="84" t="s">
        <v>4570</v>
      </c>
      <c r="B223" s="97">
        <v>43341</v>
      </c>
      <c r="C223" s="42" t="s">
        <v>4483</v>
      </c>
      <c r="D223" s="84" t="s">
        <v>4484</v>
      </c>
      <c r="E223" s="42" t="s">
        <v>4485</v>
      </c>
      <c r="F223" s="38"/>
      <c r="G223" s="38"/>
    </row>
    <row r="224" spans="1:7" s="84" customFormat="1" x14ac:dyDescent="0.3">
      <c r="A224" s="84" t="s">
        <v>4570</v>
      </c>
      <c r="B224" s="97">
        <v>43430</v>
      </c>
      <c r="C224" s="7" t="s">
        <v>4528</v>
      </c>
      <c r="D224" s="7" t="s">
        <v>4529</v>
      </c>
      <c r="E224" t="s">
        <v>4527</v>
      </c>
      <c r="F224"/>
      <c r="G224"/>
    </row>
    <row r="225" spans="1:9" s="84" customFormat="1" x14ac:dyDescent="0.3">
      <c r="A225" s="84" t="s">
        <v>4570</v>
      </c>
      <c r="B225" s="97">
        <v>43431</v>
      </c>
      <c r="C225" s="7" t="s">
        <v>4136</v>
      </c>
      <c r="D225" s="7" t="s">
        <v>4530</v>
      </c>
      <c r="E225" t="s">
        <v>4137</v>
      </c>
      <c r="F225"/>
      <c r="G225"/>
    </row>
    <row r="226" spans="1:9" s="84" customFormat="1" x14ac:dyDescent="0.3">
      <c r="A226" s="84" t="s">
        <v>4570</v>
      </c>
      <c r="B226" s="97">
        <v>43431</v>
      </c>
      <c r="C226" s="42" t="s">
        <v>4534</v>
      </c>
      <c r="D226" s="7" t="s">
        <v>4535</v>
      </c>
      <c r="E226" s="42" t="s">
        <v>4536</v>
      </c>
      <c r="F226"/>
      <c r="G226"/>
    </row>
    <row r="227" spans="1:9" s="84" customFormat="1" x14ac:dyDescent="0.3">
      <c r="A227" s="84" t="s">
        <v>4570</v>
      </c>
      <c r="B227" s="97">
        <v>43431</v>
      </c>
      <c r="C227" s="42" t="s">
        <v>4532</v>
      </c>
      <c r="D227" s="7" t="s">
        <v>4531</v>
      </c>
      <c r="E227" s="42" t="s">
        <v>4533</v>
      </c>
      <c r="F227"/>
      <c r="G227"/>
    </row>
    <row r="228" spans="1:9" s="84" customFormat="1" x14ac:dyDescent="0.3">
      <c r="A228" s="84" t="s">
        <v>4570</v>
      </c>
      <c r="B228" s="97"/>
      <c r="C228"/>
      <c r="D228"/>
      <c r="E228"/>
      <c r="F228"/>
      <c r="G228"/>
    </row>
    <row r="229" spans="1:9" s="84" customFormat="1" x14ac:dyDescent="0.3">
      <c r="A229" s="84" t="s">
        <v>4574</v>
      </c>
      <c r="B229" s="99" t="s">
        <v>3836</v>
      </c>
      <c r="C229" s="5" t="str">
        <f>"Change in definition ("&amp;COUNTA(C230:C231)&amp;")"</f>
        <v>Change in definition (0)</v>
      </c>
      <c r="D229" s="5" t="s">
        <v>198</v>
      </c>
      <c r="E229" s="5" t="s">
        <v>199</v>
      </c>
      <c r="F229"/>
      <c r="G229"/>
    </row>
    <row r="230" spans="1:9" s="84" customFormat="1" x14ac:dyDescent="0.3">
      <c r="A230" s="84" t="s">
        <v>4571</v>
      </c>
      <c r="B230" s="97"/>
      <c r="C230" s="96"/>
      <c r="D230" s="37"/>
      <c r="E230" s="37"/>
      <c r="F230" s="7"/>
      <c r="G230" s="7"/>
    </row>
    <row r="231" spans="1:9" s="84" customFormat="1" x14ac:dyDescent="0.3">
      <c r="A231" s="84" t="s">
        <v>4571</v>
      </c>
      <c r="B231" s="97"/>
      <c r="C231"/>
      <c r="D231"/>
      <c r="E231"/>
      <c r="F231"/>
      <c r="G231"/>
    </row>
    <row r="232" spans="1:9" s="84" customFormat="1" x14ac:dyDescent="0.3">
      <c r="A232" s="84" t="s">
        <v>4574</v>
      </c>
      <c r="B232" s="99" t="s">
        <v>3836</v>
      </c>
      <c r="C232" s="5" t="str">
        <f>"Change in source ("&amp;COUNTA(C233:C234)&amp;")"</f>
        <v>Change in source (0)</v>
      </c>
      <c r="D232" s="5" t="s">
        <v>307</v>
      </c>
      <c r="E232" s="5" t="s">
        <v>308</v>
      </c>
      <c r="F232"/>
      <c r="G232"/>
    </row>
    <row r="233" spans="1:9" s="84" customFormat="1" x14ac:dyDescent="0.3">
      <c r="A233" s="84" t="s">
        <v>4572</v>
      </c>
      <c r="B233" s="97"/>
      <c r="C233" s="95"/>
      <c r="D233" s="69"/>
      <c r="E233" s="69"/>
    </row>
    <row r="234" spans="1:9" s="7" customFormat="1" x14ac:dyDescent="0.3">
      <c r="A234" s="84" t="s">
        <v>4572</v>
      </c>
      <c r="B234" s="97"/>
      <c r="C234"/>
      <c r="D234"/>
      <c r="E234"/>
      <c r="F234"/>
      <c r="G234"/>
      <c r="I234"/>
    </row>
    <row r="235" spans="1:9" s="7" customFormat="1" x14ac:dyDescent="0.3">
      <c r="A235" s="84" t="s">
        <v>4574</v>
      </c>
      <c r="B235" s="99" t="s">
        <v>3836</v>
      </c>
      <c r="C235" s="5" t="str">
        <f>"Change in topic ("&amp;COUNTA(C236:C237)&amp;")"</f>
        <v>Change in topic (0)</v>
      </c>
      <c r="D235" s="5" t="s">
        <v>374</v>
      </c>
      <c r="E235" s="5" t="s">
        <v>375</v>
      </c>
      <c r="F235"/>
      <c r="G235"/>
      <c r="I235"/>
    </row>
    <row r="236" spans="1:9" s="7" customFormat="1" x14ac:dyDescent="0.3">
      <c r="A236" s="84" t="s">
        <v>4573</v>
      </c>
      <c r="B236" s="97"/>
      <c r="C236"/>
      <c r="D236"/>
      <c r="E236"/>
      <c r="F236"/>
      <c r="G236"/>
      <c r="I236"/>
    </row>
    <row r="237" spans="1:9" x14ac:dyDescent="0.3">
      <c r="B237" s="97"/>
    </row>
    <row r="238" spans="1:9" x14ac:dyDescent="0.3">
      <c r="B238" s="97"/>
      <c r="H238"/>
    </row>
    <row r="239" spans="1:9" x14ac:dyDescent="0.3">
      <c r="B239" s="97"/>
      <c r="H239"/>
    </row>
    <row r="240" spans="1:9" x14ac:dyDescent="0.3">
      <c r="B240" s="97"/>
      <c r="H240"/>
    </row>
    <row r="241" spans="2:8" x14ac:dyDescent="0.3">
      <c r="B241" s="97"/>
      <c r="H241"/>
    </row>
    <row r="242" spans="2:8" x14ac:dyDescent="0.3">
      <c r="B242" s="97"/>
      <c r="H242"/>
    </row>
    <row r="243" spans="2:8" x14ac:dyDescent="0.3">
      <c r="B243" s="97"/>
      <c r="H243"/>
    </row>
    <row r="244" spans="2:8" x14ac:dyDescent="0.3">
      <c r="B244" s="97"/>
      <c r="H244"/>
    </row>
    <row r="245" spans="2:8" x14ac:dyDescent="0.3">
      <c r="B245" s="97"/>
      <c r="H245"/>
    </row>
    <row r="246" spans="2:8" x14ac:dyDescent="0.3">
      <c r="B246" s="97"/>
      <c r="H246"/>
    </row>
    <row r="247" spans="2:8" x14ac:dyDescent="0.3">
      <c r="B247" s="97"/>
      <c r="H247"/>
    </row>
    <row r="248" spans="2:8" x14ac:dyDescent="0.3">
      <c r="B248" s="97"/>
      <c r="H248"/>
    </row>
    <row r="249" spans="2:8" x14ac:dyDescent="0.3">
      <c r="B249" s="97"/>
      <c r="H249"/>
    </row>
    <row r="250" spans="2:8" x14ac:dyDescent="0.3">
      <c r="B250" s="97"/>
      <c r="H250"/>
    </row>
    <row r="251" spans="2:8" x14ac:dyDescent="0.3">
      <c r="B251" s="97"/>
      <c r="H251"/>
    </row>
    <row r="252" spans="2:8" x14ac:dyDescent="0.3">
      <c r="B252" s="97"/>
      <c r="H252"/>
    </row>
    <row r="253" spans="2:8" x14ac:dyDescent="0.3">
      <c r="B253" s="97"/>
      <c r="H253"/>
    </row>
    <row r="254" spans="2:8" x14ac:dyDescent="0.3">
      <c r="B254" s="97"/>
      <c r="H254"/>
    </row>
    <row r="255" spans="2:8" x14ac:dyDescent="0.3">
      <c r="B255" s="97"/>
      <c r="H255"/>
    </row>
    <row r="256" spans="2:8" x14ac:dyDescent="0.3">
      <c r="B256" s="97"/>
      <c r="H256"/>
    </row>
    <row r="257" spans="2:8" x14ac:dyDescent="0.3">
      <c r="B257" s="97"/>
      <c r="H257"/>
    </row>
    <row r="258" spans="2:8" x14ac:dyDescent="0.3">
      <c r="B258" s="97"/>
      <c r="H258"/>
    </row>
    <row r="259" spans="2:8" x14ac:dyDescent="0.3">
      <c r="B259" s="97"/>
      <c r="H259"/>
    </row>
    <row r="260" spans="2:8" x14ac:dyDescent="0.3">
      <c r="B260" s="97"/>
      <c r="H260"/>
    </row>
    <row r="261" spans="2:8" x14ac:dyDescent="0.3">
      <c r="B261" s="97"/>
      <c r="H261"/>
    </row>
    <row r="262" spans="2:8" x14ac:dyDescent="0.3">
      <c r="B262" s="100"/>
      <c r="H262"/>
    </row>
    <row r="263" spans="2:8" x14ac:dyDescent="0.3">
      <c r="B263" s="100"/>
      <c r="H263"/>
    </row>
    <row r="264" spans="2:8" x14ac:dyDescent="0.3">
      <c r="B264" s="100"/>
      <c r="H264"/>
    </row>
    <row r="265" spans="2:8" x14ac:dyDescent="0.3">
      <c r="B265" s="100"/>
      <c r="H265"/>
    </row>
    <row r="266" spans="2:8" x14ac:dyDescent="0.3">
      <c r="B266" s="100"/>
      <c r="H266"/>
    </row>
    <row r="267" spans="2:8" x14ac:dyDescent="0.3">
      <c r="B267" s="100"/>
      <c r="H267"/>
    </row>
    <row r="268" spans="2:8" x14ac:dyDescent="0.3">
      <c r="B268" s="100"/>
      <c r="H268"/>
    </row>
    <row r="269" spans="2:8" x14ac:dyDescent="0.3">
      <c r="B269" s="100"/>
      <c r="H269"/>
    </row>
    <row r="270" spans="2:8" x14ac:dyDescent="0.3">
      <c r="B270" s="100"/>
      <c r="H270"/>
    </row>
    <row r="271" spans="2:8" x14ac:dyDescent="0.3">
      <c r="B271" s="100"/>
      <c r="H271"/>
    </row>
    <row r="272" spans="2:8" x14ac:dyDescent="0.3">
      <c r="B272" s="100"/>
      <c r="H272"/>
    </row>
    <row r="273" spans="2:8" x14ac:dyDescent="0.3">
      <c r="B273" s="100"/>
      <c r="H273"/>
    </row>
    <row r="274" spans="2:8" x14ac:dyDescent="0.3">
      <c r="B274" s="100"/>
      <c r="H274"/>
    </row>
    <row r="275" spans="2:8" x14ac:dyDescent="0.3">
      <c r="B275" s="100"/>
      <c r="H275"/>
    </row>
    <row r="276" spans="2:8" x14ac:dyDescent="0.3">
      <c r="B276" s="100"/>
      <c r="H276"/>
    </row>
    <row r="277" spans="2:8" x14ac:dyDescent="0.3">
      <c r="B277" s="100"/>
      <c r="H277"/>
    </row>
    <row r="278" spans="2:8" x14ac:dyDescent="0.3">
      <c r="B278" s="100"/>
      <c r="H278"/>
    </row>
    <row r="279" spans="2:8" x14ac:dyDescent="0.3">
      <c r="B279" s="100"/>
      <c r="H279"/>
    </row>
    <row r="280" spans="2:8" x14ac:dyDescent="0.3">
      <c r="B280" s="100"/>
      <c r="H280"/>
    </row>
    <row r="281" spans="2:8" x14ac:dyDescent="0.3">
      <c r="B281" s="100"/>
      <c r="H281"/>
    </row>
    <row r="282" spans="2:8" x14ac:dyDescent="0.3">
      <c r="B282" s="100"/>
      <c r="H282"/>
    </row>
    <row r="283" spans="2:8" x14ac:dyDescent="0.3">
      <c r="B283" s="100"/>
      <c r="H283"/>
    </row>
    <row r="284" spans="2:8" x14ac:dyDescent="0.3">
      <c r="B284" s="100"/>
      <c r="H284"/>
    </row>
    <row r="285" spans="2:8" x14ac:dyDescent="0.3">
      <c r="B285" s="100"/>
      <c r="H285"/>
    </row>
    <row r="286" spans="2:8" x14ac:dyDescent="0.3">
      <c r="B286" s="100"/>
      <c r="H286"/>
    </row>
    <row r="287" spans="2:8" x14ac:dyDescent="0.3">
      <c r="B287" s="100"/>
      <c r="H287"/>
    </row>
    <row r="288" spans="2:8" x14ac:dyDescent="0.3">
      <c r="B288" s="100"/>
      <c r="H288"/>
    </row>
    <row r="289" spans="2:8" x14ac:dyDescent="0.3">
      <c r="B289" s="100"/>
      <c r="H289"/>
    </row>
    <row r="290" spans="2:8" x14ac:dyDescent="0.3">
      <c r="B290" s="100"/>
      <c r="H290"/>
    </row>
    <row r="291" spans="2:8" x14ac:dyDescent="0.3">
      <c r="B291" s="100"/>
      <c r="H291"/>
    </row>
    <row r="292" spans="2:8" x14ac:dyDescent="0.3">
      <c r="B292" s="100"/>
      <c r="H292"/>
    </row>
    <row r="293" spans="2:8" x14ac:dyDescent="0.3">
      <c r="B293" s="100"/>
      <c r="H293"/>
    </row>
    <row r="294" spans="2:8" x14ac:dyDescent="0.3">
      <c r="B294" s="100"/>
      <c r="H294"/>
    </row>
    <row r="295" spans="2:8" x14ac:dyDescent="0.3">
      <c r="B295" s="100"/>
      <c r="H295"/>
    </row>
    <row r="296" spans="2:8" x14ac:dyDescent="0.3">
      <c r="B296" s="100"/>
      <c r="H296"/>
    </row>
    <row r="297" spans="2:8" x14ac:dyDescent="0.3">
      <c r="B297" s="100"/>
      <c r="H297"/>
    </row>
    <row r="298" spans="2:8" x14ac:dyDescent="0.3">
      <c r="B298" s="100"/>
      <c r="H298"/>
    </row>
    <row r="299" spans="2:8" x14ac:dyDescent="0.3">
      <c r="B299" s="100"/>
      <c r="H299"/>
    </row>
    <row r="300" spans="2:8" x14ac:dyDescent="0.3">
      <c r="B300" s="100"/>
      <c r="H300"/>
    </row>
    <row r="301" spans="2:8" x14ac:dyDescent="0.3">
      <c r="B301" s="100"/>
      <c r="H301"/>
    </row>
    <row r="302" spans="2:8" x14ac:dyDescent="0.3">
      <c r="B302" s="100"/>
      <c r="H302"/>
    </row>
    <row r="303" spans="2:8" x14ac:dyDescent="0.3">
      <c r="B303" s="100"/>
      <c r="H303"/>
    </row>
    <row r="304" spans="2:8" x14ac:dyDescent="0.3">
      <c r="B304" s="100"/>
      <c r="H304"/>
    </row>
    <row r="305" spans="2:8" x14ac:dyDescent="0.3">
      <c r="B305" s="100"/>
      <c r="H305"/>
    </row>
    <row r="306" spans="2:8" x14ac:dyDescent="0.3">
      <c r="B306" s="100"/>
      <c r="H306"/>
    </row>
    <row r="307" spans="2:8" x14ac:dyDescent="0.3">
      <c r="B307" s="100"/>
      <c r="H307"/>
    </row>
    <row r="308" spans="2:8" x14ac:dyDescent="0.3">
      <c r="B308" s="100"/>
      <c r="H308"/>
    </row>
    <row r="309" spans="2:8" x14ac:dyDescent="0.3">
      <c r="B309" s="100"/>
      <c r="H309"/>
    </row>
    <row r="310" spans="2:8" x14ac:dyDescent="0.3">
      <c r="B310" s="100"/>
      <c r="H310"/>
    </row>
    <row r="311" spans="2:8" x14ac:dyDescent="0.3">
      <c r="B311" s="100"/>
      <c r="H311"/>
    </row>
    <row r="312" spans="2:8" x14ac:dyDescent="0.3">
      <c r="B312" s="100"/>
      <c r="H312"/>
    </row>
    <row r="313" spans="2:8" x14ac:dyDescent="0.3">
      <c r="B313" s="100"/>
      <c r="H313"/>
    </row>
    <row r="314" spans="2:8" x14ac:dyDescent="0.3">
      <c r="B314" s="100"/>
      <c r="H314"/>
    </row>
    <row r="315" spans="2:8" x14ac:dyDescent="0.3">
      <c r="B315" s="100"/>
      <c r="H315"/>
    </row>
    <row r="316" spans="2:8" x14ac:dyDescent="0.3">
      <c r="B316" s="100"/>
      <c r="H316"/>
    </row>
    <row r="317" spans="2:8" x14ac:dyDescent="0.3">
      <c r="B317" s="100"/>
      <c r="H317"/>
    </row>
    <row r="318" spans="2:8" x14ac:dyDescent="0.3">
      <c r="B318" s="100"/>
      <c r="H318"/>
    </row>
    <row r="319" spans="2:8" x14ac:dyDescent="0.3">
      <c r="B319" s="100"/>
      <c r="H319"/>
    </row>
    <row r="320" spans="2:8" x14ac:dyDescent="0.3">
      <c r="B320" s="100"/>
      <c r="H320"/>
    </row>
    <row r="321" spans="2:8" x14ac:dyDescent="0.3">
      <c r="B321" s="100"/>
      <c r="H321"/>
    </row>
    <row r="322" spans="2:8" x14ac:dyDescent="0.3">
      <c r="B322" s="100"/>
      <c r="H322"/>
    </row>
    <row r="323" spans="2:8" x14ac:dyDescent="0.3">
      <c r="B323" s="100"/>
      <c r="H323"/>
    </row>
    <row r="324" spans="2:8" x14ac:dyDescent="0.3">
      <c r="B324" s="100"/>
      <c r="H324"/>
    </row>
    <row r="325" spans="2:8" x14ac:dyDescent="0.3">
      <c r="B325" s="100"/>
      <c r="H325"/>
    </row>
    <row r="326" spans="2:8" x14ac:dyDescent="0.3">
      <c r="B326" s="100"/>
      <c r="H326"/>
    </row>
    <row r="327" spans="2:8" x14ac:dyDescent="0.3">
      <c r="B327" s="100"/>
      <c r="H327"/>
    </row>
    <row r="328" spans="2:8" x14ac:dyDescent="0.3">
      <c r="B328" s="100"/>
      <c r="H328"/>
    </row>
    <row r="329" spans="2:8" x14ac:dyDescent="0.3">
      <c r="B329" s="100"/>
      <c r="H329"/>
    </row>
    <row r="330" spans="2:8" x14ac:dyDescent="0.3">
      <c r="B330" s="100"/>
      <c r="H330"/>
    </row>
    <row r="331" spans="2:8" x14ac:dyDescent="0.3">
      <c r="B331" s="100"/>
      <c r="H331"/>
    </row>
    <row r="332" spans="2:8" x14ac:dyDescent="0.3">
      <c r="B332" s="100"/>
      <c r="H332"/>
    </row>
    <row r="333" spans="2:8" x14ac:dyDescent="0.3">
      <c r="B333" s="100"/>
      <c r="H333"/>
    </row>
    <row r="334" spans="2:8" x14ac:dyDescent="0.3">
      <c r="B334" s="100"/>
      <c r="H334"/>
    </row>
    <row r="335" spans="2:8" x14ac:dyDescent="0.3">
      <c r="B335" s="100"/>
      <c r="H335"/>
    </row>
    <row r="336" spans="2:8" x14ac:dyDescent="0.3">
      <c r="B336" s="100"/>
      <c r="H336"/>
    </row>
    <row r="337" spans="2:8" x14ac:dyDescent="0.3">
      <c r="B337" s="100"/>
      <c r="H337"/>
    </row>
    <row r="338" spans="2:8" x14ac:dyDescent="0.3">
      <c r="B338" s="100"/>
      <c r="H338"/>
    </row>
    <row r="339" spans="2:8" x14ac:dyDescent="0.3">
      <c r="B339" s="100"/>
      <c r="H339"/>
    </row>
    <row r="340" spans="2:8" x14ac:dyDescent="0.3">
      <c r="B340" s="100"/>
      <c r="H340"/>
    </row>
    <row r="341" spans="2:8" x14ac:dyDescent="0.3">
      <c r="B341" s="100"/>
      <c r="H341"/>
    </row>
    <row r="342" spans="2:8" x14ac:dyDescent="0.3">
      <c r="B342" s="100"/>
      <c r="H342"/>
    </row>
    <row r="343" spans="2:8" x14ac:dyDescent="0.3">
      <c r="B343" s="100"/>
      <c r="H343"/>
    </row>
    <row r="344" spans="2:8" x14ac:dyDescent="0.3">
      <c r="B344" s="100"/>
      <c r="H344"/>
    </row>
    <row r="345" spans="2:8" x14ac:dyDescent="0.3">
      <c r="B345" s="100"/>
      <c r="H345"/>
    </row>
    <row r="346" spans="2:8" x14ac:dyDescent="0.3">
      <c r="B346" s="100"/>
      <c r="H346"/>
    </row>
    <row r="347" spans="2:8" x14ac:dyDescent="0.3">
      <c r="B347" s="100"/>
      <c r="H347"/>
    </row>
    <row r="348" spans="2:8" x14ac:dyDescent="0.3">
      <c r="B348" s="100"/>
      <c r="H348"/>
    </row>
    <row r="349" spans="2:8" x14ac:dyDescent="0.3">
      <c r="B349" s="100"/>
      <c r="H349"/>
    </row>
    <row r="350" spans="2:8" x14ac:dyDescent="0.3">
      <c r="B350" s="100"/>
      <c r="H350"/>
    </row>
    <row r="351" spans="2:8" x14ac:dyDescent="0.3">
      <c r="B351" s="100"/>
      <c r="H351"/>
    </row>
    <row r="352" spans="2:8" x14ac:dyDescent="0.3">
      <c r="B352" s="100"/>
      <c r="H352"/>
    </row>
    <row r="353" spans="2:8" x14ac:dyDescent="0.3">
      <c r="B353" s="100"/>
      <c r="H353"/>
    </row>
    <row r="354" spans="2:8" x14ac:dyDescent="0.3">
      <c r="B354" s="100"/>
      <c r="H354"/>
    </row>
    <row r="355" spans="2:8" x14ac:dyDescent="0.3">
      <c r="B355" s="100"/>
      <c r="H355"/>
    </row>
    <row r="356" spans="2:8" x14ac:dyDescent="0.3">
      <c r="B356" s="100"/>
      <c r="H356"/>
    </row>
    <row r="357" spans="2:8" x14ac:dyDescent="0.3">
      <c r="B357" s="100"/>
      <c r="H357"/>
    </row>
    <row r="358" spans="2:8" x14ac:dyDescent="0.3">
      <c r="B358" s="100"/>
      <c r="H358"/>
    </row>
    <row r="359" spans="2:8" x14ac:dyDescent="0.3">
      <c r="B359" s="100"/>
      <c r="H359"/>
    </row>
    <row r="360" spans="2:8" x14ac:dyDescent="0.3">
      <c r="B360" s="100"/>
      <c r="H360"/>
    </row>
    <row r="361" spans="2:8" x14ac:dyDescent="0.3">
      <c r="B361" s="100"/>
      <c r="H361"/>
    </row>
    <row r="362" spans="2:8" x14ac:dyDescent="0.3">
      <c r="B362" s="100"/>
      <c r="H362"/>
    </row>
    <row r="363" spans="2:8" x14ac:dyDescent="0.3">
      <c r="B363" s="100"/>
      <c r="H363"/>
    </row>
    <row r="364" spans="2:8" x14ac:dyDescent="0.3">
      <c r="B364" s="100"/>
      <c r="H364"/>
    </row>
    <row r="365" spans="2:8" x14ac:dyDescent="0.3">
      <c r="B365" s="100"/>
      <c r="H365"/>
    </row>
    <row r="366" spans="2:8" x14ac:dyDescent="0.3">
      <c r="B366" s="100"/>
      <c r="H366"/>
    </row>
    <row r="367" spans="2:8" x14ac:dyDescent="0.3">
      <c r="B367" s="100"/>
      <c r="H367"/>
    </row>
    <row r="368" spans="2:8" x14ac:dyDescent="0.3">
      <c r="B368" s="100"/>
      <c r="H368"/>
    </row>
    <row r="369" spans="2:8" x14ac:dyDescent="0.3">
      <c r="B369" s="100"/>
      <c r="H369"/>
    </row>
    <row r="370" spans="2:8" x14ac:dyDescent="0.3">
      <c r="B370" s="100"/>
      <c r="H370"/>
    </row>
    <row r="371" spans="2:8" x14ac:dyDescent="0.3">
      <c r="B371" s="100"/>
      <c r="H371"/>
    </row>
    <row r="372" spans="2:8" x14ac:dyDescent="0.3">
      <c r="B372" s="100"/>
      <c r="H372"/>
    </row>
    <row r="373" spans="2:8" x14ac:dyDescent="0.3">
      <c r="B373" s="100"/>
      <c r="H373"/>
    </row>
    <row r="374" spans="2:8" x14ac:dyDescent="0.3">
      <c r="B374" s="100"/>
      <c r="H374"/>
    </row>
    <row r="375" spans="2:8" x14ac:dyDescent="0.3">
      <c r="B375" s="100"/>
      <c r="H375"/>
    </row>
    <row r="376" spans="2:8" x14ac:dyDescent="0.3">
      <c r="B376" s="100"/>
      <c r="H376"/>
    </row>
    <row r="377" spans="2:8" x14ac:dyDescent="0.3">
      <c r="B377" s="100"/>
      <c r="H377"/>
    </row>
    <row r="378" spans="2:8" x14ac:dyDescent="0.3">
      <c r="B378" s="100"/>
      <c r="H378"/>
    </row>
    <row r="379" spans="2:8" x14ac:dyDescent="0.3">
      <c r="B379" s="100"/>
      <c r="H379"/>
    </row>
    <row r="380" spans="2:8" x14ac:dyDescent="0.3">
      <c r="B380" s="100"/>
      <c r="H380"/>
    </row>
    <row r="381" spans="2:8" x14ac:dyDescent="0.3">
      <c r="B381" s="100"/>
      <c r="H381"/>
    </row>
    <row r="382" spans="2:8" x14ac:dyDescent="0.3">
      <c r="B382" s="100"/>
      <c r="H382"/>
    </row>
    <row r="383" spans="2:8" x14ac:dyDescent="0.3">
      <c r="B383" s="100"/>
      <c r="H383"/>
    </row>
    <row r="384" spans="2:8" x14ac:dyDescent="0.3">
      <c r="B384" s="100"/>
      <c r="H384"/>
    </row>
    <row r="385" spans="2:8" x14ac:dyDescent="0.3">
      <c r="B385" s="100"/>
      <c r="H385"/>
    </row>
    <row r="386" spans="2:8" x14ac:dyDescent="0.3">
      <c r="B386" s="100"/>
      <c r="H386"/>
    </row>
    <row r="387" spans="2:8" x14ac:dyDescent="0.3">
      <c r="B387" s="100"/>
      <c r="H387"/>
    </row>
    <row r="388" spans="2:8" x14ac:dyDescent="0.3">
      <c r="B388" s="100"/>
      <c r="H388"/>
    </row>
    <row r="389" spans="2:8" x14ac:dyDescent="0.3">
      <c r="B389" s="100"/>
      <c r="H389"/>
    </row>
    <row r="390" spans="2:8" x14ac:dyDescent="0.3">
      <c r="B390" s="100"/>
      <c r="H390"/>
    </row>
    <row r="391" spans="2:8" x14ac:dyDescent="0.3">
      <c r="B391" s="100"/>
      <c r="H391"/>
    </row>
    <row r="392" spans="2:8" x14ac:dyDescent="0.3">
      <c r="B392" s="100"/>
      <c r="H392"/>
    </row>
    <row r="393" spans="2:8" x14ac:dyDescent="0.3">
      <c r="B393" s="100"/>
      <c r="H393"/>
    </row>
    <row r="394" spans="2:8" x14ac:dyDescent="0.3">
      <c r="B394" s="100"/>
      <c r="H394"/>
    </row>
    <row r="395" spans="2:8" x14ac:dyDescent="0.3">
      <c r="B395" s="100"/>
      <c r="H395"/>
    </row>
    <row r="396" spans="2:8" x14ac:dyDescent="0.3">
      <c r="B396" s="100"/>
      <c r="H396"/>
    </row>
    <row r="397" spans="2:8" x14ac:dyDescent="0.3">
      <c r="B397" s="100"/>
      <c r="H397"/>
    </row>
    <row r="398" spans="2:8" x14ac:dyDescent="0.3">
      <c r="B398" s="100"/>
      <c r="H398"/>
    </row>
    <row r="399" spans="2:8" x14ac:dyDescent="0.3">
      <c r="B399" s="100"/>
      <c r="H399"/>
    </row>
    <row r="400" spans="2:8" x14ac:dyDescent="0.3">
      <c r="B400" s="100"/>
      <c r="H400"/>
    </row>
    <row r="401" spans="2:8" x14ac:dyDescent="0.3">
      <c r="B401" s="100"/>
      <c r="H401"/>
    </row>
    <row r="402" spans="2:8" x14ac:dyDescent="0.3">
      <c r="B402" s="100"/>
      <c r="H402"/>
    </row>
    <row r="403" spans="2:8" x14ac:dyDescent="0.3">
      <c r="B403" s="100"/>
      <c r="H403"/>
    </row>
    <row r="404" spans="2:8" x14ac:dyDescent="0.3">
      <c r="B404" s="100"/>
      <c r="H404"/>
    </row>
    <row r="405" spans="2:8" x14ac:dyDescent="0.3">
      <c r="B405" s="100"/>
      <c r="H405"/>
    </row>
    <row r="406" spans="2:8" x14ac:dyDescent="0.3">
      <c r="B406" s="100"/>
      <c r="H406"/>
    </row>
    <row r="407" spans="2:8" x14ac:dyDescent="0.3">
      <c r="B407" s="100"/>
      <c r="H407"/>
    </row>
    <row r="408" spans="2:8" x14ac:dyDescent="0.3">
      <c r="B408" s="100"/>
      <c r="H408"/>
    </row>
    <row r="409" spans="2:8" x14ac:dyDescent="0.3">
      <c r="B409" s="100"/>
      <c r="H409"/>
    </row>
    <row r="410" spans="2:8" x14ac:dyDescent="0.3">
      <c r="B410" s="100"/>
      <c r="H410"/>
    </row>
    <row r="411" spans="2:8" x14ac:dyDescent="0.3">
      <c r="B411" s="100"/>
      <c r="H411"/>
    </row>
    <row r="412" spans="2:8" x14ac:dyDescent="0.3">
      <c r="B412" s="100"/>
      <c r="H412"/>
    </row>
    <row r="413" spans="2:8" x14ac:dyDescent="0.3">
      <c r="B413" s="100"/>
      <c r="H413"/>
    </row>
    <row r="414" spans="2:8" x14ac:dyDescent="0.3">
      <c r="B414" s="100"/>
      <c r="H414"/>
    </row>
    <row r="415" spans="2:8" x14ac:dyDescent="0.3">
      <c r="B415" s="100"/>
      <c r="H415"/>
    </row>
    <row r="416" spans="2:8" x14ac:dyDescent="0.3">
      <c r="B416" s="100"/>
      <c r="H416"/>
    </row>
    <row r="417" spans="2:8" x14ac:dyDescent="0.3">
      <c r="B417" s="100"/>
      <c r="H417"/>
    </row>
    <row r="418" spans="2:8" x14ac:dyDescent="0.3">
      <c r="B418" s="100"/>
      <c r="H418"/>
    </row>
    <row r="419" spans="2:8" x14ac:dyDescent="0.3">
      <c r="B419" s="100"/>
      <c r="H419"/>
    </row>
    <row r="420" spans="2:8" x14ac:dyDescent="0.3">
      <c r="B420" s="100"/>
      <c r="H420"/>
    </row>
    <row r="421" spans="2:8" x14ac:dyDescent="0.3">
      <c r="B421" s="100"/>
      <c r="H421"/>
    </row>
    <row r="422" spans="2:8" x14ac:dyDescent="0.3">
      <c r="B422" s="100"/>
      <c r="H422"/>
    </row>
    <row r="423" spans="2:8" x14ac:dyDescent="0.3">
      <c r="B423" s="100"/>
      <c r="H423"/>
    </row>
    <row r="424" spans="2:8" x14ac:dyDescent="0.3">
      <c r="B424" s="100"/>
      <c r="H424"/>
    </row>
    <row r="425" spans="2:8" x14ac:dyDescent="0.3">
      <c r="B425" s="100"/>
      <c r="H425"/>
    </row>
    <row r="426" spans="2:8" x14ac:dyDescent="0.3">
      <c r="B426" s="100"/>
      <c r="H426"/>
    </row>
    <row r="427" spans="2:8" x14ac:dyDescent="0.3">
      <c r="B427" s="100"/>
      <c r="H427"/>
    </row>
    <row r="428" spans="2:8" x14ac:dyDescent="0.3">
      <c r="B428" s="100"/>
      <c r="H428"/>
    </row>
    <row r="429" spans="2:8" x14ac:dyDescent="0.3">
      <c r="B429" s="100"/>
      <c r="H429"/>
    </row>
    <row r="430" spans="2:8" x14ac:dyDescent="0.3">
      <c r="B430" s="100"/>
      <c r="H430"/>
    </row>
    <row r="431" spans="2:8" x14ac:dyDescent="0.3">
      <c r="B431" s="100"/>
      <c r="H431"/>
    </row>
    <row r="432" spans="2:8" x14ac:dyDescent="0.3">
      <c r="B432" s="100"/>
      <c r="H432"/>
    </row>
    <row r="433" spans="2:8" x14ac:dyDescent="0.3">
      <c r="B433" s="100"/>
      <c r="H433"/>
    </row>
    <row r="434" spans="2:8" x14ac:dyDescent="0.3">
      <c r="B434" s="100"/>
      <c r="H434"/>
    </row>
    <row r="435" spans="2:8" x14ac:dyDescent="0.3">
      <c r="B435" s="100"/>
      <c r="H435"/>
    </row>
    <row r="436" spans="2:8" x14ac:dyDescent="0.3">
      <c r="B436" s="100"/>
      <c r="H436"/>
    </row>
    <row r="437" spans="2:8" x14ac:dyDescent="0.3">
      <c r="B437" s="100"/>
      <c r="H437"/>
    </row>
    <row r="438" spans="2:8" x14ac:dyDescent="0.3">
      <c r="B438" s="100"/>
      <c r="H438"/>
    </row>
    <row r="439" spans="2:8" x14ac:dyDescent="0.3">
      <c r="B439" s="100"/>
      <c r="H439"/>
    </row>
    <row r="440" spans="2:8" x14ac:dyDescent="0.3">
      <c r="B440" s="100"/>
      <c r="H440"/>
    </row>
    <row r="441" spans="2:8" x14ac:dyDescent="0.3">
      <c r="B441" s="100"/>
      <c r="H441"/>
    </row>
    <row r="442" spans="2:8" x14ac:dyDescent="0.3">
      <c r="B442" s="100"/>
      <c r="H442"/>
    </row>
    <row r="443" spans="2:8" x14ac:dyDescent="0.3">
      <c r="B443" s="100"/>
      <c r="H443"/>
    </row>
    <row r="444" spans="2:8" x14ac:dyDescent="0.3">
      <c r="B444" s="100"/>
      <c r="H444"/>
    </row>
    <row r="445" spans="2:8" x14ac:dyDescent="0.3">
      <c r="B445" s="100"/>
      <c r="H445"/>
    </row>
    <row r="446" spans="2:8" x14ac:dyDescent="0.3">
      <c r="B446" s="100"/>
      <c r="H446"/>
    </row>
    <row r="447" spans="2:8" x14ac:dyDescent="0.3">
      <c r="B447" s="100"/>
      <c r="H447"/>
    </row>
    <row r="448" spans="2:8" x14ac:dyDescent="0.3">
      <c r="B448" s="100"/>
      <c r="H448"/>
    </row>
    <row r="449" spans="2:8" x14ac:dyDescent="0.3">
      <c r="B449" s="100"/>
      <c r="H449"/>
    </row>
    <row r="450" spans="2:8" x14ac:dyDescent="0.3">
      <c r="B450" s="100"/>
      <c r="H450"/>
    </row>
    <row r="451" spans="2:8" x14ac:dyDescent="0.3">
      <c r="B451" s="100"/>
      <c r="H451"/>
    </row>
    <row r="452" spans="2:8" x14ac:dyDescent="0.3">
      <c r="B452" s="100"/>
      <c r="H452"/>
    </row>
    <row r="453" spans="2:8" x14ac:dyDescent="0.3">
      <c r="B453" s="100"/>
      <c r="H453"/>
    </row>
    <row r="454" spans="2:8" x14ac:dyDescent="0.3">
      <c r="B454" s="100"/>
      <c r="H454"/>
    </row>
    <row r="455" spans="2:8" x14ac:dyDescent="0.3">
      <c r="B455" s="100"/>
      <c r="H455"/>
    </row>
    <row r="456" spans="2:8" x14ac:dyDescent="0.3">
      <c r="B456" s="100"/>
      <c r="H456"/>
    </row>
    <row r="457" spans="2:8" x14ac:dyDescent="0.3">
      <c r="B457" s="100"/>
      <c r="H457"/>
    </row>
    <row r="458" spans="2:8" x14ac:dyDescent="0.3">
      <c r="B458" s="100"/>
      <c r="H458"/>
    </row>
    <row r="459" spans="2:8" x14ac:dyDescent="0.3">
      <c r="B459" s="100"/>
      <c r="H459"/>
    </row>
    <row r="460" spans="2:8" x14ac:dyDescent="0.3">
      <c r="B460" s="100"/>
      <c r="H460"/>
    </row>
    <row r="461" spans="2:8" x14ac:dyDescent="0.3">
      <c r="B461" s="100"/>
      <c r="H461"/>
    </row>
    <row r="462" spans="2:8" x14ac:dyDescent="0.3">
      <c r="B462" s="100"/>
      <c r="H462"/>
    </row>
    <row r="463" spans="2:8" x14ac:dyDescent="0.3">
      <c r="B463" s="100"/>
      <c r="H463"/>
    </row>
    <row r="464" spans="2:8" x14ac:dyDescent="0.3">
      <c r="B464" s="100"/>
      <c r="H464"/>
    </row>
    <row r="465" spans="2:8" x14ac:dyDescent="0.3">
      <c r="B465" s="100"/>
      <c r="H465"/>
    </row>
    <row r="466" spans="2:8" x14ac:dyDescent="0.3">
      <c r="B466" s="100"/>
      <c r="H466"/>
    </row>
    <row r="467" spans="2:8" x14ac:dyDescent="0.3">
      <c r="B467" s="100"/>
      <c r="H467"/>
    </row>
    <row r="468" spans="2:8" x14ac:dyDescent="0.3">
      <c r="B468" s="100"/>
      <c r="H468"/>
    </row>
    <row r="469" spans="2:8" x14ac:dyDescent="0.3">
      <c r="B469" s="100"/>
      <c r="H469"/>
    </row>
    <row r="470" spans="2:8" x14ac:dyDescent="0.3">
      <c r="B470" s="100"/>
      <c r="H470"/>
    </row>
    <row r="471" spans="2:8" x14ac:dyDescent="0.3">
      <c r="B471" s="100"/>
      <c r="H471"/>
    </row>
    <row r="472" spans="2:8" x14ac:dyDescent="0.3">
      <c r="B472" s="100"/>
      <c r="H472"/>
    </row>
    <row r="473" spans="2:8" x14ac:dyDescent="0.3">
      <c r="B473" s="100"/>
      <c r="H473"/>
    </row>
    <row r="474" spans="2:8" x14ac:dyDescent="0.3">
      <c r="B474" s="100"/>
      <c r="H474"/>
    </row>
    <row r="475" spans="2:8" x14ac:dyDescent="0.3">
      <c r="B475" s="100"/>
      <c r="H475"/>
    </row>
    <row r="476" spans="2:8" x14ac:dyDescent="0.3">
      <c r="B476" s="100"/>
      <c r="H476"/>
    </row>
    <row r="477" spans="2:8" x14ac:dyDescent="0.3">
      <c r="B477" s="100"/>
      <c r="H477"/>
    </row>
    <row r="478" spans="2:8" x14ac:dyDescent="0.3">
      <c r="B478" s="100"/>
      <c r="H478"/>
    </row>
    <row r="479" spans="2:8" x14ac:dyDescent="0.3">
      <c r="B479" s="100"/>
      <c r="H479"/>
    </row>
    <row r="480" spans="2:8" x14ac:dyDescent="0.3">
      <c r="B480" s="100"/>
      <c r="H480"/>
    </row>
    <row r="481" spans="2:8" x14ac:dyDescent="0.3">
      <c r="B481" s="100"/>
      <c r="H481"/>
    </row>
    <row r="482" spans="2:8" x14ac:dyDescent="0.3">
      <c r="B482" s="100"/>
      <c r="H482"/>
    </row>
    <row r="483" spans="2:8" x14ac:dyDescent="0.3">
      <c r="B483" s="100"/>
      <c r="H483"/>
    </row>
    <row r="484" spans="2:8" x14ac:dyDescent="0.3">
      <c r="B484" s="100"/>
      <c r="H484"/>
    </row>
    <row r="485" spans="2:8" x14ac:dyDescent="0.3">
      <c r="B485" s="100"/>
      <c r="H485"/>
    </row>
    <row r="486" spans="2:8" x14ac:dyDescent="0.3">
      <c r="B486" s="100"/>
      <c r="H486"/>
    </row>
    <row r="487" spans="2:8" x14ac:dyDescent="0.3">
      <c r="B487" s="100"/>
      <c r="H487"/>
    </row>
    <row r="488" spans="2:8" x14ac:dyDescent="0.3">
      <c r="B488" s="100"/>
      <c r="H488"/>
    </row>
    <row r="489" spans="2:8" x14ac:dyDescent="0.3">
      <c r="B489" s="100"/>
      <c r="H489"/>
    </row>
    <row r="490" spans="2:8" x14ac:dyDescent="0.3">
      <c r="B490" s="100"/>
      <c r="H490"/>
    </row>
    <row r="491" spans="2:8" x14ac:dyDescent="0.3">
      <c r="B491" s="100"/>
      <c r="H491"/>
    </row>
    <row r="492" spans="2:8" x14ac:dyDescent="0.3">
      <c r="B492" s="100"/>
      <c r="H492"/>
    </row>
    <row r="493" spans="2:8" x14ac:dyDescent="0.3">
      <c r="B493" s="100"/>
      <c r="H493"/>
    </row>
    <row r="494" spans="2:8" x14ac:dyDescent="0.3">
      <c r="B494" s="100"/>
      <c r="H494"/>
    </row>
    <row r="495" spans="2:8" x14ac:dyDescent="0.3">
      <c r="B495" s="100"/>
      <c r="H495"/>
    </row>
    <row r="496" spans="2:8" x14ac:dyDescent="0.3">
      <c r="B496" s="100"/>
      <c r="H496"/>
    </row>
    <row r="497" spans="2:8" x14ac:dyDescent="0.3">
      <c r="B497" s="100"/>
      <c r="H497"/>
    </row>
    <row r="498" spans="2:8" x14ac:dyDescent="0.3">
      <c r="B498" s="100"/>
      <c r="H498"/>
    </row>
    <row r="499" spans="2:8" x14ac:dyDescent="0.3">
      <c r="B499" s="100"/>
      <c r="H499"/>
    </row>
    <row r="500" spans="2:8" x14ac:dyDescent="0.3">
      <c r="B500" s="100"/>
      <c r="H500"/>
    </row>
    <row r="501" spans="2:8" x14ac:dyDescent="0.3">
      <c r="B501" s="100"/>
      <c r="H501"/>
    </row>
    <row r="502" spans="2:8" x14ac:dyDescent="0.3">
      <c r="B502" s="100"/>
      <c r="H502"/>
    </row>
    <row r="503" spans="2:8" x14ac:dyDescent="0.3">
      <c r="B503" s="100"/>
      <c r="H503"/>
    </row>
    <row r="504" spans="2:8" x14ac:dyDescent="0.3">
      <c r="B504" s="100"/>
      <c r="H504"/>
    </row>
    <row r="505" spans="2:8" x14ac:dyDescent="0.3">
      <c r="B505" s="100"/>
      <c r="H505"/>
    </row>
    <row r="506" spans="2:8" x14ac:dyDescent="0.3">
      <c r="B506" s="100"/>
      <c r="H506"/>
    </row>
    <row r="507" spans="2:8" x14ac:dyDescent="0.3">
      <c r="B507" s="100"/>
      <c r="H507"/>
    </row>
    <row r="508" spans="2:8" x14ac:dyDescent="0.3">
      <c r="B508" s="100"/>
      <c r="H508"/>
    </row>
    <row r="509" spans="2:8" x14ac:dyDescent="0.3">
      <c r="B509" s="100"/>
      <c r="H509"/>
    </row>
    <row r="510" spans="2:8" x14ac:dyDescent="0.3">
      <c r="B510" s="100"/>
      <c r="H510"/>
    </row>
    <row r="511" spans="2:8" x14ac:dyDescent="0.3">
      <c r="B511" s="100"/>
      <c r="H511"/>
    </row>
    <row r="512" spans="2:8" x14ac:dyDescent="0.3">
      <c r="B512" s="100"/>
      <c r="H512"/>
    </row>
    <row r="513" spans="2:8" x14ac:dyDescent="0.3">
      <c r="B513" s="100"/>
      <c r="H513"/>
    </row>
    <row r="514" spans="2:8" x14ac:dyDescent="0.3">
      <c r="B514" s="100"/>
      <c r="H514"/>
    </row>
    <row r="515" spans="2:8" x14ac:dyDescent="0.3">
      <c r="B515" s="100"/>
      <c r="H515"/>
    </row>
    <row r="516" spans="2:8" x14ac:dyDescent="0.3">
      <c r="B516" s="100"/>
      <c r="H516"/>
    </row>
    <row r="517" spans="2:8" x14ac:dyDescent="0.3">
      <c r="B517" s="100"/>
      <c r="H517"/>
    </row>
    <row r="518" spans="2:8" x14ac:dyDescent="0.3">
      <c r="B518" s="100"/>
      <c r="H518"/>
    </row>
    <row r="519" spans="2:8" x14ac:dyDescent="0.3">
      <c r="B519" s="100"/>
      <c r="H519"/>
    </row>
    <row r="520" spans="2:8" x14ac:dyDescent="0.3">
      <c r="B520" s="100"/>
      <c r="H520"/>
    </row>
    <row r="521" spans="2:8" x14ac:dyDescent="0.3">
      <c r="B521" s="100"/>
      <c r="H521"/>
    </row>
    <row r="522" spans="2:8" x14ac:dyDescent="0.3">
      <c r="B522" s="100"/>
      <c r="H522"/>
    </row>
    <row r="523" spans="2:8" x14ac:dyDescent="0.3">
      <c r="B523" s="100"/>
      <c r="H523"/>
    </row>
    <row r="524" spans="2:8" x14ac:dyDescent="0.3">
      <c r="B524" s="100"/>
      <c r="H524"/>
    </row>
    <row r="525" spans="2:8" x14ac:dyDescent="0.3">
      <c r="B525" s="100"/>
      <c r="H525"/>
    </row>
    <row r="526" spans="2:8" x14ac:dyDescent="0.3">
      <c r="B526" s="100"/>
      <c r="H526"/>
    </row>
    <row r="527" spans="2:8" x14ac:dyDescent="0.3">
      <c r="B527" s="100"/>
      <c r="H527"/>
    </row>
    <row r="528" spans="2:8" x14ac:dyDescent="0.3">
      <c r="B528" s="100"/>
      <c r="H528"/>
    </row>
    <row r="529" spans="2:8" x14ac:dyDescent="0.3">
      <c r="B529" s="100"/>
      <c r="H529"/>
    </row>
    <row r="530" spans="2:8" x14ac:dyDescent="0.3">
      <c r="B530" s="100"/>
      <c r="H530"/>
    </row>
    <row r="531" spans="2:8" x14ac:dyDescent="0.3">
      <c r="B531" s="100"/>
      <c r="H531"/>
    </row>
    <row r="532" spans="2:8" x14ac:dyDescent="0.3">
      <c r="B532" s="100"/>
      <c r="H532"/>
    </row>
    <row r="533" spans="2:8" x14ac:dyDescent="0.3">
      <c r="B533" s="100"/>
      <c r="H533"/>
    </row>
    <row r="534" spans="2:8" x14ac:dyDescent="0.3">
      <c r="B534" s="100"/>
      <c r="H534"/>
    </row>
    <row r="535" spans="2:8" x14ac:dyDescent="0.3">
      <c r="B535" s="100"/>
      <c r="H535"/>
    </row>
    <row r="536" spans="2:8" x14ac:dyDescent="0.3">
      <c r="B536" s="100"/>
      <c r="H536"/>
    </row>
    <row r="537" spans="2:8" x14ac:dyDescent="0.3">
      <c r="B537" s="100"/>
      <c r="H537"/>
    </row>
    <row r="538" spans="2:8" x14ac:dyDescent="0.3">
      <c r="B538" s="100"/>
      <c r="H538"/>
    </row>
    <row r="539" spans="2:8" x14ac:dyDescent="0.3">
      <c r="B539" s="100"/>
      <c r="H539"/>
    </row>
    <row r="540" spans="2:8" x14ac:dyDescent="0.3">
      <c r="B540" s="100"/>
      <c r="H540"/>
    </row>
    <row r="541" spans="2:8" x14ac:dyDescent="0.3">
      <c r="B541" s="100"/>
      <c r="H541"/>
    </row>
    <row r="542" spans="2:8" x14ac:dyDescent="0.3">
      <c r="B542" s="100"/>
      <c r="H542"/>
    </row>
    <row r="543" spans="2:8" x14ac:dyDescent="0.3">
      <c r="B543" s="100"/>
      <c r="H543"/>
    </row>
    <row r="544" spans="2:8" x14ac:dyDescent="0.3">
      <c r="B544" s="100"/>
      <c r="H544"/>
    </row>
    <row r="545" spans="2:8" x14ac:dyDescent="0.3">
      <c r="B545" s="100"/>
      <c r="H545"/>
    </row>
    <row r="546" spans="2:8" x14ac:dyDescent="0.3">
      <c r="B546" s="100"/>
      <c r="H546"/>
    </row>
    <row r="547" spans="2:8" x14ac:dyDescent="0.3">
      <c r="B547" s="100"/>
      <c r="H547"/>
    </row>
    <row r="548" spans="2:8" x14ac:dyDescent="0.3">
      <c r="B548" s="100"/>
      <c r="H548"/>
    </row>
    <row r="549" spans="2:8" x14ac:dyDescent="0.3">
      <c r="B549" s="100"/>
      <c r="H549"/>
    </row>
    <row r="550" spans="2:8" x14ac:dyDescent="0.3">
      <c r="B550" s="100"/>
      <c r="H550"/>
    </row>
    <row r="551" spans="2:8" x14ac:dyDescent="0.3">
      <c r="B551" s="100"/>
      <c r="H551"/>
    </row>
    <row r="552" spans="2:8" x14ac:dyDescent="0.3">
      <c r="B552" s="100"/>
      <c r="H552"/>
    </row>
    <row r="553" spans="2:8" x14ac:dyDescent="0.3">
      <c r="B553" s="100"/>
      <c r="H553"/>
    </row>
    <row r="554" spans="2:8" x14ac:dyDescent="0.3">
      <c r="B554" s="100"/>
      <c r="H554"/>
    </row>
    <row r="555" spans="2:8" x14ac:dyDescent="0.3">
      <c r="B555" s="100"/>
      <c r="H555"/>
    </row>
    <row r="556" spans="2:8" x14ac:dyDescent="0.3">
      <c r="B556" s="100"/>
      <c r="H556"/>
    </row>
    <row r="557" spans="2:8" x14ac:dyDescent="0.3">
      <c r="B557" s="100"/>
      <c r="H557"/>
    </row>
    <row r="558" spans="2:8" x14ac:dyDescent="0.3">
      <c r="B558" s="100"/>
      <c r="H558"/>
    </row>
    <row r="559" spans="2:8" x14ac:dyDescent="0.3">
      <c r="B559" s="100"/>
      <c r="H559"/>
    </row>
    <row r="560" spans="2:8" x14ac:dyDescent="0.3">
      <c r="B560" s="100"/>
      <c r="H560"/>
    </row>
    <row r="561" spans="2:8" x14ac:dyDescent="0.3">
      <c r="B561" s="100"/>
      <c r="H561"/>
    </row>
    <row r="562" spans="2:8" x14ac:dyDescent="0.3">
      <c r="B562" s="100"/>
      <c r="H562"/>
    </row>
    <row r="563" spans="2:8" x14ac:dyDescent="0.3">
      <c r="B563" s="100"/>
      <c r="H563"/>
    </row>
    <row r="564" spans="2:8" x14ac:dyDescent="0.3">
      <c r="B564" s="100"/>
      <c r="H564"/>
    </row>
    <row r="565" spans="2:8" x14ac:dyDescent="0.3">
      <c r="B565" s="100"/>
      <c r="H565"/>
    </row>
    <row r="566" spans="2:8" x14ac:dyDescent="0.3">
      <c r="B566" s="100"/>
      <c r="H566"/>
    </row>
    <row r="567" spans="2:8" x14ac:dyDescent="0.3">
      <c r="B567" s="100"/>
      <c r="H567"/>
    </row>
    <row r="568" spans="2:8" x14ac:dyDescent="0.3">
      <c r="B568" s="100"/>
      <c r="H568"/>
    </row>
    <row r="569" spans="2:8" x14ac:dyDescent="0.3">
      <c r="B569" s="100"/>
      <c r="H569"/>
    </row>
    <row r="570" spans="2:8" x14ac:dyDescent="0.3">
      <c r="B570" s="100"/>
      <c r="H570"/>
    </row>
    <row r="571" spans="2:8" x14ac:dyDescent="0.3">
      <c r="B571" s="100"/>
      <c r="H571"/>
    </row>
    <row r="572" spans="2:8" x14ac:dyDescent="0.3">
      <c r="B572" s="100"/>
      <c r="H572"/>
    </row>
    <row r="573" spans="2:8" x14ac:dyDescent="0.3">
      <c r="B573" s="100"/>
      <c r="H573"/>
    </row>
    <row r="574" spans="2:8" x14ac:dyDescent="0.3">
      <c r="B574" s="100"/>
      <c r="H574"/>
    </row>
    <row r="575" spans="2:8" x14ac:dyDescent="0.3">
      <c r="B575" s="100"/>
      <c r="H575"/>
    </row>
    <row r="576" spans="2:8" x14ac:dyDescent="0.3">
      <c r="B576" s="100"/>
      <c r="H576"/>
    </row>
    <row r="577" spans="2:8" x14ac:dyDescent="0.3">
      <c r="B577" s="100"/>
      <c r="H577"/>
    </row>
    <row r="578" spans="2:8" x14ac:dyDescent="0.3">
      <c r="B578" s="100"/>
      <c r="H578"/>
    </row>
    <row r="579" spans="2:8" x14ac:dyDescent="0.3">
      <c r="B579" s="100"/>
      <c r="H579"/>
    </row>
    <row r="580" spans="2:8" x14ac:dyDescent="0.3">
      <c r="B580" s="100"/>
      <c r="H580"/>
    </row>
    <row r="581" spans="2:8" x14ac:dyDescent="0.3">
      <c r="B581" s="100"/>
      <c r="H581"/>
    </row>
    <row r="582" spans="2:8" x14ac:dyDescent="0.3">
      <c r="B582" s="100"/>
      <c r="H582"/>
    </row>
    <row r="583" spans="2:8" x14ac:dyDescent="0.3">
      <c r="B583" s="100"/>
      <c r="H583"/>
    </row>
    <row r="584" spans="2:8" x14ac:dyDescent="0.3">
      <c r="B584" s="100"/>
      <c r="H584"/>
    </row>
    <row r="585" spans="2:8" x14ac:dyDescent="0.3">
      <c r="B585" s="100"/>
      <c r="H585"/>
    </row>
    <row r="586" spans="2:8" x14ac:dyDescent="0.3">
      <c r="B586" s="100"/>
      <c r="H586"/>
    </row>
    <row r="587" spans="2:8" x14ac:dyDescent="0.3">
      <c r="B587" s="100"/>
      <c r="H587"/>
    </row>
    <row r="588" spans="2:8" x14ac:dyDescent="0.3">
      <c r="B588" s="100"/>
      <c r="H588"/>
    </row>
    <row r="589" spans="2:8" x14ac:dyDescent="0.3">
      <c r="B589" s="100"/>
      <c r="H589"/>
    </row>
    <row r="590" spans="2:8" x14ac:dyDescent="0.3">
      <c r="B590" s="100"/>
      <c r="H590"/>
    </row>
    <row r="591" spans="2:8" x14ac:dyDescent="0.3">
      <c r="B591" s="100"/>
      <c r="H591"/>
    </row>
    <row r="592" spans="2:8" x14ac:dyDescent="0.3">
      <c r="B592" s="100"/>
      <c r="H592"/>
    </row>
    <row r="593" spans="2:8" x14ac:dyDescent="0.3">
      <c r="B593" s="100"/>
      <c r="H593"/>
    </row>
    <row r="594" spans="2:8" x14ac:dyDescent="0.3">
      <c r="B594" s="100"/>
      <c r="H594"/>
    </row>
    <row r="595" spans="2:8" x14ac:dyDescent="0.3">
      <c r="B595" s="100"/>
      <c r="H595"/>
    </row>
    <row r="596" spans="2:8" x14ac:dyDescent="0.3">
      <c r="B596" s="100"/>
      <c r="H596"/>
    </row>
    <row r="597" spans="2:8" x14ac:dyDescent="0.3">
      <c r="B597" s="100"/>
      <c r="H597"/>
    </row>
    <row r="598" spans="2:8" x14ac:dyDescent="0.3">
      <c r="B598" s="100"/>
      <c r="H598"/>
    </row>
    <row r="599" spans="2:8" x14ac:dyDescent="0.3">
      <c r="B599" s="100"/>
      <c r="H599"/>
    </row>
    <row r="600" spans="2:8" x14ac:dyDescent="0.3">
      <c r="B600" s="100"/>
      <c r="H600"/>
    </row>
    <row r="601" spans="2:8" x14ac:dyDescent="0.3">
      <c r="B601" s="100"/>
      <c r="H601"/>
    </row>
    <row r="602" spans="2:8" x14ac:dyDescent="0.3">
      <c r="B602" s="100"/>
      <c r="H602"/>
    </row>
    <row r="603" spans="2:8" x14ac:dyDescent="0.3">
      <c r="B603" s="100"/>
      <c r="H603"/>
    </row>
    <row r="604" spans="2:8" x14ac:dyDescent="0.3">
      <c r="B604" s="100"/>
      <c r="H604"/>
    </row>
    <row r="605" spans="2:8" x14ac:dyDescent="0.3">
      <c r="B605" s="100"/>
      <c r="H605"/>
    </row>
    <row r="606" spans="2:8" x14ac:dyDescent="0.3">
      <c r="B606" s="100"/>
      <c r="H606"/>
    </row>
    <row r="607" spans="2:8" x14ac:dyDescent="0.3">
      <c r="B607" s="100"/>
      <c r="H607"/>
    </row>
    <row r="608" spans="2:8" x14ac:dyDescent="0.3">
      <c r="B608" s="100"/>
      <c r="H608"/>
    </row>
    <row r="609" spans="2:8" x14ac:dyDescent="0.3">
      <c r="B609" s="100"/>
      <c r="H609"/>
    </row>
    <row r="610" spans="2:8" x14ac:dyDescent="0.3">
      <c r="B610" s="100"/>
      <c r="H610"/>
    </row>
    <row r="611" spans="2:8" x14ac:dyDescent="0.3">
      <c r="B611" s="100"/>
      <c r="H611"/>
    </row>
    <row r="612" spans="2:8" x14ac:dyDescent="0.3">
      <c r="B612" s="100"/>
      <c r="H612"/>
    </row>
    <row r="613" spans="2:8" x14ac:dyDescent="0.3">
      <c r="B613" s="100"/>
      <c r="H613"/>
    </row>
    <row r="614" spans="2:8" x14ac:dyDescent="0.3">
      <c r="B614" s="100"/>
      <c r="H614"/>
    </row>
    <row r="615" spans="2:8" x14ac:dyDescent="0.3">
      <c r="B615" s="100"/>
      <c r="H615"/>
    </row>
    <row r="616" spans="2:8" x14ac:dyDescent="0.3">
      <c r="B616" s="100"/>
      <c r="H616"/>
    </row>
    <row r="617" spans="2:8" x14ac:dyDescent="0.3">
      <c r="B617" s="100"/>
      <c r="H617"/>
    </row>
    <row r="618" spans="2:8" x14ac:dyDescent="0.3">
      <c r="B618" s="100"/>
      <c r="H618"/>
    </row>
    <row r="619" spans="2:8" x14ac:dyDescent="0.3">
      <c r="B619" s="100"/>
      <c r="H619"/>
    </row>
    <row r="620" spans="2:8" x14ac:dyDescent="0.3">
      <c r="B620" s="100"/>
      <c r="H620"/>
    </row>
    <row r="621" spans="2:8" x14ac:dyDescent="0.3">
      <c r="B621" s="100"/>
      <c r="H621"/>
    </row>
    <row r="622" spans="2:8" x14ac:dyDescent="0.3">
      <c r="B622" s="100"/>
      <c r="H622"/>
    </row>
    <row r="623" spans="2:8" x14ac:dyDescent="0.3">
      <c r="B623" s="100"/>
      <c r="H623"/>
    </row>
    <row r="624" spans="2:8" x14ac:dyDescent="0.3">
      <c r="B624" s="100"/>
      <c r="H624"/>
    </row>
    <row r="625" spans="2:8" x14ac:dyDescent="0.3">
      <c r="B625" s="100"/>
      <c r="H625"/>
    </row>
    <row r="626" spans="2:8" x14ac:dyDescent="0.3">
      <c r="B626" s="100"/>
      <c r="H626"/>
    </row>
    <row r="627" spans="2:8" x14ac:dyDescent="0.3">
      <c r="B627" s="100"/>
      <c r="H627"/>
    </row>
    <row r="628" spans="2:8" x14ac:dyDescent="0.3">
      <c r="B628" s="100"/>
      <c r="H628"/>
    </row>
    <row r="629" spans="2:8" x14ac:dyDescent="0.3">
      <c r="B629" s="100"/>
      <c r="H629"/>
    </row>
    <row r="630" spans="2:8" x14ac:dyDescent="0.3">
      <c r="B630" s="100"/>
      <c r="H630"/>
    </row>
    <row r="631" spans="2:8" x14ac:dyDescent="0.3">
      <c r="B631" s="100"/>
      <c r="H631"/>
    </row>
    <row r="632" spans="2:8" x14ac:dyDescent="0.3">
      <c r="B632" s="100"/>
      <c r="H632"/>
    </row>
    <row r="633" spans="2:8" x14ac:dyDescent="0.3">
      <c r="B633" s="100"/>
      <c r="H633"/>
    </row>
    <row r="634" spans="2:8" x14ac:dyDescent="0.3">
      <c r="B634" s="100"/>
      <c r="H634"/>
    </row>
    <row r="635" spans="2:8" x14ac:dyDescent="0.3">
      <c r="B635" s="100"/>
      <c r="H635"/>
    </row>
    <row r="636" spans="2:8" x14ac:dyDescent="0.3">
      <c r="B636" s="100"/>
      <c r="H636"/>
    </row>
    <row r="637" spans="2:8" x14ac:dyDescent="0.3">
      <c r="B637" s="100"/>
      <c r="H637"/>
    </row>
    <row r="638" spans="2:8" x14ac:dyDescent="0.3">
      <c r="B638" s="100"/>
      <c r="H638"/>
    </row>
    <row r="639" spans="2:8" x14ac:dyDescent="0.3">
      <c r="B639" s="100"/>
      <c r="H639"/>
    </row>
    <row r="640" spans="2:8" x14ac:dyDescent="0.3">
      <c r="B640" s="100"/>
      <c r="H640"/>
    </row>
    <row r="641" spans="2:8" x14ac:dyDescent="0.3">
      <c r="B641" s="100"/>
      <c r="H641"/>
    </row>
    <row r="642" spans="2:8" x14ac:dyDescent="0.3">
      <c r="B642" s="100"/>
      <c r="H642"/>
    </row>
    <row r="643" spans="2:8" x14ac:dyDescent="0.3">
      <c r="B643" s="100"/>
      <c r="H643"/>
    </row>
    <row r="644" spans="2:8" x14ac:dyDescent="0.3">
      <c r="B644" s="100"/>
      <c r="H644"/>
    </row>
    <row r="645" spans="2:8" x14ac:dyDescent="0.3">
      <c r="B645" s="100"/>
      <c r="H645"/>
    </row>
    <row r="646" spans="2:8" x14ac:dyDescent="0.3">
      <c r="B646" s="100"/>
      <c r="H646"/>
    </row>
    <row r="647" spans="2:8" x14ac:dyDescent="0.3">
      <c r="B647" s="100"/>
      <c r="H647"/>
    </row>
    <row r="648" spans="2:8" x14ac:dyDescent="0.3">
      <c r="B648" s="100"/>
      <c r="H648"/>
    </row>
    <row r="649" spans="2:8" x14ac:dyDescent="0.3">
      <c r="B649" s="100"/>
      <c r="H649"/>
    </row>
    <row r="650" spans="2:8" x14ac:dyDescent="0.3">
      <c r="B650" s="100"/>
      <c r="H650"/>
    </row>
    <row r="651" spans="2:8" x14ac:dyDescent="0.3">
      <c r="B651" s="100"/>
      <c r="H651"/>
    </row>
    <row r="652" spans="2:8" x14ac:dyDescent="0.3">
      <c r="B652" s="100"/>
      <c r="H652"/>
    </row>
    <row r="653" spans="2:8" x14ac:dyDescent="0.3">
      <c r="B653" s="100"/>
      <c r="H653"/>
    </row>
    <row r="654" spans="2:8" x14ac:dyDescent="0.3">
      <c r="B654" s="100"/>
      <c r="H654"/>
    </row>
    <row r="655" spans="2:8" x14ac:dyDescent="0.3">
      <c r="B655" s="100"/>
      <c r="H655"/>
    </row>
    <row r="656" spans="2:8" x14ac:dyDescent="0.3">
      <c r="B656" s="100"/>
      <c r="H656"/>
    </row>
    <row r="657" spans="2:8" x14ac:dyDescent="0.3">
      <c r="B657" s="100"/>
      <c r="H657"/>
    </row>
    <row r="658" spans="2:8" x14ac:dyDescent="0.3">
      <c r="B658" s="100"/>
      <c r="H658"/>
    </row>
    <row r="659" spans="2:8" x14ac:dyDescent="0.3">
      <c r="B659" s="100"/>
      <c r="H659"/>
    </row>
    <row r="660" spans="2:8" x14ac:dyDescent="0.3">
      <c r="B660" s="100"/>
      <c r="H660"/>
    </row>
    <row r="661" spans="2:8" x14ac:dyDescent="0.3">
      <c r="B661" s="100"/>
      <c r="H661"/>
    </row>
    <row r="662" spans="2:8" x14ac:dyDescent="0.3">
      <c r="B662" s="100"/>
      <c r="H662"/>
    </row>
    <row r="663" spans="2:8" x14ac:dyDescent="0.3">
      <c r="B663" s="100"/>
      <c r="H663"/>
    </row>
    <row r="664" spans="2:8" x14ac:dyDescent="0.3">
      <c r="B664" s="100"/>
      <c r="H664"/>
    </row>
    <row r="665" spans="2:8" x14ac:dyDescent="0.3">
      <c r="B665" s="100"/>
      <c r="H665"/>
    </row>
    <row r="666" spans="2:8" x14ac:dyDescent="0.3">
      <c r="B666" s="100"/>
      <c r="H666"/>
    </row>
    <row r="667" spans="2:8" x14ac:dyDescent="0.3">
      <c r="B667" s="100"/>
      <c r="H667"/>
    </row>
    <row r="668" spans="2:8" x14ac:dyDescent="0.3">
      <c r="B668" s="100"/>
      <c r="H668"/>
    </row>
    <row r="669" spans="2:8" x14ac:dyDescent="0.3">
      <c r="B669" s="100"/>
      <c r="H669"/>
    </row>
    <row r="670" spans="2:8" x14ac:dyDescent="0.3">
      <c r="B670" s="100"/>
      <c r="H670"/>
    </row>
    <row r="671" spans="2:8" x14ac:dyDescent="0.3">
      <c r="B671" s="100"/>
      <c r="H671"/>
    </row>
    <row r="672" spans="2:8" x14ac:dyDescent="0.3">
      <c r="B672" s="100"/>
      <c r="H672"/>
    </row>
    <row r="673" spans="2:8" x14ac:dyDescent="0.3">
      <c r="B673" s="100"/>
      <c r="H673"/>
    </row>
    <row r="674" spans="2:8" x14ac:dyDescent="0.3">
      <c r="B674" s="100"/>
      <c r="H674"/>
    </row>
    <row r="675" spans="2:8" x14ac:dyDescent="0.3">
      <c r="B675" s="100"/>
      <c r="H675"/>
    </row>
    <row r="676" spans="2:8" x14ac:dyDescent="0.3">
      <c r="B676" s="100"/>
      <c r="H676"/>
    </row>
    <row r="677" spans="2:8" x14ac:dyDescent="0.3">
      <c r="B677" s="100"/>
      <c r="H677"/>
    </row>
    <row r="678" spans="2:8" x14ac:dyDescent="0.3">
      <c r="B678" s="100"/>
      <c r="H678"/>
    </row>
    <row r="679" spans="2:8" x14ac:dyDescent="0.3">
      <c r="B679" s="100"/>
      <c r="H679"/>
    </row>
    <row r="680" spans="2:8" x14ac:dyDescent="0.3">
      <c r="B680" s="100"/>
      <c r="H680"/>
    </row>
    <row r="681" spans="2:8" x14ac:dyDescent="0.3">
      <c r="B681" s="100"/>
      <c r="H681"/>
    </row>
    <row r="682" spans="2:8" x14ac:dyDescent="0.3">
      <c r="B682" s="100"/>
      <c r="H682"/>
    </row>
    <row r="683" spans="2:8" x14ac:dyDescent="0.3">
      <c r="B683" s="100"/>
      <c r="H683"/>
    </row>
    <row r="684" spans="2:8" x14ac:dyDescent="0.3">
      <c r="B684" s="100"/>
      <c r="H684"/>
    </row>
    <row r="685" spans="2:8" x14ac:dyDescent="0.3">
      <c r="B685" s="100"/>
      <c r="H685"/>
    </row>
    <row r="686" spans="2:8" x14ac:dyDescent="0.3">
      <c r="B686" s="100"/>
      <c r="H686"/>
    </row>
    <row r="687" spans="2:8" x14ac:dyDescent="0.3">
      <c r="B687" s="100"/>
      <c r="H687"/>
    </row>
    <row r="688" spans="2:8" x14ac:dyDescent="0.3">
      <c r="B688" s="100"/>
      <c r="H688"/>
    </row>
    <row r="689" spans="2:8" x14ac:dyDescent="0.3">
      <c r="B689" s="100"/>
      <c r="H689"/>
    </row>
    <row r="690" spans="2:8" x14ac:dyDescent="0.3">
      <c r="B690" s="100"/>
      <c r="H690"/>
    </row>
    <row r="691" spans="2:8" x14ac:dyDescent="0.3">
      <c r="B691" s="100"/>
      <c r="H691"/>
    </row>
    <row r="692" spans="2:8" x14ac:dyDescent="0.3">
      <c r="B692" s="100"/>
      <c r="H692"/>
    </row>
    <row r="693" spans="2:8" x14ac:dyDescent="0.3">
      <c r="B693" s="100"/>
      <c r="H693"/>
    </row>
    <row r="694" spans="2:8" x14ac:dyDescent="0.3">
      <c r="B694" s="100"/>
      <c r="H694"/>
    </row>
    <row r="695" spans="2:8" x14ac:dyDescent="0.3">
      <c r="B695" s="100"/>
      <c r="H695"/>
    </row>
    <row r="696" spans="2:8" x14ac:dyDescent="0.3">
      <c r="B696" s="100"/>
      <c r="H696"/>
    </row>
  </sheetData>
  <autoFilter ref="A1:G236" xr:uid="{935D5794-4CF0-4734-A2A9-C49887D5E34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4731C-CDAD-485C-B804-818CF1B118B4}">
  <dimension ref="A1:H921"/>
  <sheetViews>
    <sheetView workbookViewId="0">
      <selection activeCell="A149" sqref="A149:C149"/>
    </sheetView>
  </sheetViews>
  <sheetFormatPr defaultRowHeight="14.4" x14ac:dyDescent="0.3"/>
  <cols>
    <col min="1" max="1" width="11.6640625" style="101" customWidth="1"/>
    <col min="2" max="2" width="25.44140625" customWidth="1"/>
    <col min="3" max="3" width="73" customWidth="1"/>
    <col min="4" max="4" width="108.109375" customWidth="1"/>
    <col min="5" max="5" width="30.6640625" customWidth="1"/>
    <col min="6" max="6" width="41.88671875" customWidth="1"/>
    <col min="7" max="7" width="9.109375" style="7" customWidth="1"/>
  </cols>
  <sheetData>
    <row r="1" spans="1:8" x14ac:dyDescent="0.3">
      <c r="A1" s="99" t="s">
        <v>3836</v>
      </c>
      <c r="B1" s="4" t="str">
        <f>"Additions ("&amp;COUNTA(B2:B165)&amp;")"</f>
        <v>Additions (164)</v>
      </c>
      <c r="C1" s="5" t="s">
        <v>28</v>
      </c>
      <c r="D1" s="6" t="s">
        <v>29</v>
      </c>
      <c r="E1" s="5" t="s">
        <v>30</v>
      </c>
      <c r="F1" s="5" t="s">
        <v>31</v>
      </c>
    </row>
    <row r="2" spans="1:8" s="38" customFormat="1" x14ac:dyDescent="0.3">
      <c r="A2" s="97">
        <v>42842</v>
      </c>
      <c r="B2" s="38" t="s">
        <v>3485</v>
      </c>
      <c r="C2" s="38" t="s">
        <v>3499</v>
      </c>
      <c r="D2" s="69" t="s">
        <v>3522</v>
      </c>
      <c r="E2" s="69" t="s">
        <v>1560</v>
      </c>
      <c r="F2" s="7" t="s">
        <v>1561</v>
      </c>
      <c r="G2" s="7"/>
      <c r="H2" s="7"/>
    </row>
    <row r="3" spans="1:8" s="38" customFormat="1" x14ac:dyDescent="0.3">
      <c r="A3" s="97">
        <v>42842</v>
      </c>
      <c r="B3" s="38" t="s">
        <v>3486</v>
      </c>
      <c r="C3" s="38" t="s">
        <v>3500</v>
      </c>
      <c r="D3" s="69" t="s">
        <v>3522</v>
      </c>
      <c r="E3" s="69" t="s">
        <v>1560</v>
      </c>
      <c r="F3" s="7" t="s">
        <v>1561</v>
      </c>
      <c r="G3" s="7"/>
      <c r="H3" s="7"/>
    </row>
    <row r="4" spans="1:8" s="38" customFormat="1" x14ac:dyDescent="0.3">
      <c r="A4" s="97">
        <v>42842</v>
      </c>
      <c r="B4" s="38" t="s">
        <v>3527</v>
      </c>
      <c r="C4" s="38" t="s">
        <v>3528</v>
      </c>
      <c r="D4" s="42" t="s">
        <v>3675</v>
      </c>
      <c r="E4" s="42" t="s">
        <v>3674</v>
      </c>
      <c r="F4" s="7" t="s">
        <v>1034</v>
      </c>
      <c r="G4" s="7"/>
      <c r="H4" s="7"/>
    </row>
    <row r="5" spans="1:8" s="38" customFormat="1" x14ac:dyDescent="0.3">
      <c r="A5" s="97">
        <v>42842</v>
      </c>
      <c r="B5" s="38" t="s">
        <v>3491</v>
      </c>
      <c r="C5" s="38" t="s">
        <v>3505</v>
      </c>
      <c r="D5" s="42" t="s">
        <v>3520</v>
      </c>
      <c r="E5" s="42" t="s">
        <v>409</v>
      </c>
      <c r="F5" s="7" t="s">
        <v>3515</v>
      </c>
      <c r="G5" s="7"/>
      <c r="H5" s="7"/>
    </row>
    <row r="6" spans="1:8" s="38" customFormat="1" x14ac:dyDescent="0.3">
      <c r="A6" s="97">
        <v>42842</v>
      </c>
      <c r="B6" s="38" t="s">
        <v>3492</v>
      </c>
      <c r="C6" s="38" t="s">
        <v>3506</v>
      </c>
      <c r="D6" s="42" t="s">
        <v>3521</v>
      </c>
      <c r="E6" s="42" t="s">
        <v>409</v>
      </c>
      <c r="F6" s="7" t="s">
        <v>3515</v>
      </c>
      <c r="G6" s="7"/>
      <c r="H6" s="7"/>
    </row>
    <row r="7" spans="1:8" s="38" customFormat="1" x14ac:dyDescent="0.3">
      <c r="A7" s="97">
        <v>42842</v>
      </c>
      <c r="B7" s="38" t="s">
        <v>3495</v>
      </c>
      <c r="C7" s="38" t="s">
        <v>3509</v>
      </c>
      <c r="D7" s="42" t="s">
        <v>3520</v>
      </c>
      <c r="E7" s="42" t="s">
        <v>409</v>
      </c>
      <c r="F7" s="7" t="s">
        <v>3515</v>
      </c>
      <c r="G7" s="7"/>
      <c r="H7" s="7"/>
    </row>
    <row r="8" spans="1:8" s="38" customFormat="1" x14ac:dyDescent="0.3">
      <c r="A8" s="97">
        <v>42842</v>
      </c>
      <c r="B8" s="38" t="s">
        <v>3496</v>
      </c>
      <c r="C8" s="38" t="s">
        <v>3510</v>
      </c>
      <c r="D8" s="42" t="s">
        <v>3521</v>
      </c>
      <c r="E8" s="42" t="s">
        <v>409</v>
      </c>
      <c r="F8" s="7" t="s">
        <v>3515</v>
      </c>
      <c r="G8" s="7"/>
      <c r="H8" s="7"/>
    </row>
    <row r="9" spans="1:8" s="38" customFormat="1" x14ac:dyDescent="0.3">
      <c r="A9" s="97">
        <v>42842</v>
      </c>
      <c r="B9" s="38" t="s">
        <v>3493</v>
      </c>
      <c r="C9" s="38" t="s">
        <v>3507</v>
      </c>
      <c r="D9" s="42" t="s">
        <v>3520</v>
      </c>
      <c r="E9" s="42" t="s">
        <v>409</v>
      </c>
      <c r="F9" s="7" t="s">
        <v>3515</v>
      </c>
      <c r="G9" s="7"/>
      <c r="H9" s="7"/>
    </row>
    <row r="10" spans="1:8" s="38" customFormat="1" x14ac:dyDescent="0.3">
      <c r="A10" s="97">
        <v>42842</v>
      </c>
      <c r="B10" s="38" t="s">
        <v>3494</v>
      </c>
      <c r="C10" s="38" t="s">
        <v>3508</v>
      </c>
      <c r="D10" s="42" t="s">
        <v>3521</v>
      </c>
      <c r="E10" s="42" t="s">
        <v>409</v>
      </c>
      <c r="F10" s="7" t="s">
        <v>3515</v>
      </c>
      <c r="G10" s="7"/>
      <c r="H10" s="7"/>
    </row>
    <row r="11" spans="1:8" s="38" customFormat="1" x14ac:dyDescent="0.3">
      <c r="A11" s="97">
        <v>42842</v>
      </c>
      <c r="B11" s="38" t="s">
        <v>3497</v>
      </c>
      <c r="C11" s="38" t="s">
        <v>3511</v>
      </c>
      <c r="D11" s="42" t="s">
        <v>3520</v>
      </c>
      <c r="E11" s="42" t="s">
        <v>409</v>
      </c>
      <c r="F11" s="7" t="s">
        <v>3515</v>
      </c>
      <c r="G11" s="7"/>
      <c r="H11" s="7"/>
    </row>
    <row r="12" spans="1:8" s="38" customFormat="1" x14ac:dyDescent="0.3">
      <c r="A12" s="97">
        <v>42842</v>
      </c>
      <c r="B12" s="38" t="s">
        <v>3498</v>
      </c>
      <c r="C12" s="38" t="s">
        <v>3512</v>
      </c>
      <c r="D12" s="42" t="s">
        <v>3521</v>
      </c>
      <c r="E12" s="42" t="s">
        <v>409</v>
      </c>
      <c r="F12" s="7" t="s">
        <v>3515</v>
      </c>
      <c r="G12" s="7"/>
      <c r="H12" s="7"/>
    </row>
    <row r="13" spans="1:8" s="38" customFormat="1" x14ac:dyDescent="0.3">
      <c r="A13" s="97">
        <v>42842</v>
      </c>
      <c r="B13" s="38" t="s">
        <v>3489</v>
      </c>
      <c r="C13" s="38" t="s">
        <v>3503</v>
      </c>
      <c r="D13" s="42" t="s">
        <v>3518</v>
      </c>
      <c r="E13" s="42" t="s">
        <v>3513</v>
      </c>
      <c r="F13" s="7" t="s">
        <v>3514</v>
      </c>
      <c r="G13" s="7"/>
      <c r="H13" s="7"/>
    </row>
    <row r="14" spans="1:8" s="38" customFormat="1" x14ac:dyDescent="0.3">
      <c r="A14" s="97">
        <v>42842</v>
      </c>
      <c r="B14" s="38" t="s">
        <v>3490</v>
      </c>
      <c r="C14" s="38" t="s">
        <v>3504</v>
      </c>
      <c r="D14" s="42" t="s">
        <v>3519</v>
      </c>
      <c r="E14" s="42" t="s">
        <v>3513</v>
      </c>
      <c r="F14" s="7" t="s">
        <v>3514</v>
      </c>
      <c r="G14" s="7"/>
      <c r="H14" s="7"/>
    </row>
    <row r="15" spans="1:8" s="38" customFormat="1" x14ac:dyDescent="0.3">
      <c r="A15" s="97">
        <v>42842</v>
      </c>
      <c r="B15" s="38" t="s">
        <v>3487</v>
      </c>
      <c r="C15" s="38" t="s">
        <v>3501</v>
      </c>
      <c r="D15" s="42" t="s">
        <v>3516</v>
      </c>
      <c r="E15" s="42" t="s">
        <v>3513</v>
      </c>
      <c r="F15" s="7" t="s">
        <v>3514</v>
      </c>
      <c r="G15" s="7"/>
      <c r="H15" s="7"/>
    </row>
    <row r="16" spans="1:8" s="38" customFormat="1" x14ac:dyDescent="0.3">
      <c r="A16" s="97">
        <v>42842</v>
      </c>
      <c r="B16" s="38" t="s">
        <v>3488</v>
      </c>
      <c r="C16" s="38" t="s">
        <v>3502</v>
      </c>
      <c r="D16" s="42" t="s">
        <v>3517</v>
      </c>
      <c r="E16" s="42" t="s">
        <v>3513</v>
      </c>
      <c r="F16" s="7" t="s">
        <v>3514</v>
      </c>
      <c r="G16" s="7"/>
      <c r="H16" s="7"/>
    </row>
    <row r="17" spans="1:8" s="38" customFormat="1" x14ac:dyDescent="0.3">
      <c r="A17" s="97">
        <v>42842</v>
      </c>
      <c r="B17" s="38" t="s">
        <v>2568</v>
      </c>
      <c r="C17" s="38" t="s">
        <v>3525</v>
      </c>
      <c r="D17" s="42" t="s">
        <v>3679</v>
      </c>
      <c r="E17" s="42" t="s">
        <v>2577</v>
      </c>
      <c r="F17" s="7" t="s">
        <v>3526</v>
      </c>
      <c r="G17" s="7"/>
      <c r="H17" s="7"/>
    </row>
    <row r="18" spans="1:8" s="38" customFormat="1" x14ac:dyDescent="0.3">
      <c r="A18" s="97">
        <v>42842</v>
      </c>
      <c r="B18" s="38" t="s">
        <v>3529</v>
      </c>
      <c r="C18" s="38" t="s">
        <v>3530</v>
      </c>
      <c r="D18" s="42" t="s">
        <v>3535</v>
      </c>
      <c r="E18" s="42" t="s">
        <v>3536</v>
      </c>
      <c r="F18" s="42" t="s">
        <v>3537</v>
      </c>
      <c r="G18" s="7"/>
      <c r="H18" s="7"/>
    </row>
    <row r="19" spans="1:8" s="38" customFormat="1" x14ac:dyDescent="0.3">
      <c r="A19" s="97">
        <v>42842</v>
      </c>
      <c r="B19" s="38" t="s">
        <v>3531</v>
      </c>
      <c r="C19" s="38" t="s">
        <v>3532</v>
      </c>
      <c r="D19" s="42" t="s">
        <v>3538</v>
      </c>
      <c r="E19" s="42" t="s">
        <v>3536</v>
      </c>
      <c r="F19" s="42" t="s">
        <v>3537</v>
      </c>
      <c r="G19" s="7"/>
      <c r="H19" s="7"/>
    </row>
    <row r="20" spans="1:8" s="38" customFormat="1" x14ac:dyDescent="0.3">
      <c r="A20" s="97">
        <v>42842</v>
      </c>
      <c r="B20" s="38" t="s">
        <v>3533</v>
      </c>
      <c r="C20" s="38" t="s">
        <v>3534</v>
      </c>
      <c r="D20" s="42" t="s">
        <v>3539</v>
      </c>
      <c r="E20" s="42" t="s">
        <v>3536</v>
      </c>
      <c r="F20" s="42" t="s">
        <v>3540</v>
      </c>
      <c r="G20" s="7"/>
      <c r="H20" s="7"/>
    </row>
    <row r="21" spans="1:8" s="38" customFormat="1" x14ac:dyDescent="0.3">
      <c r="A21" s="97">
        <v>42842</v>
      </c>
      <c r="B21" s="38" t="s">
        <v>3544</v>
      </c>
      <c r="C21" s="38" t="s">
        <v>3559</v>
      </c>
      <c r="D21" s="42" t="s">
        <v>1837</v>
      </c>
      <c r="E21" s="42" t="s">
        <v>1833</v>
      </c>
      <c r="F21" s="42" t="s">
        <v>3560</v>
      </c>
      <c r="G21" s="7"/>
      <c r="H21" s="7"/>
    </row>
    <row r="22" spans="1:8" s="38" customFormat="1" x14ac:dyDescent="0.3">
      <c r="A22" s="97">
        <v>42842</v>
      </c>
      <c r="B22" s="38" t="s">
        <v>3545</v>
      </c>
      <c r="C22" s="38" t="s">
        <v>3561</v>
      </c>
      <c r="D22" s="42" t="s">
        <v>1837</v>
      </c>
      <c r="E22" s="42" t="s">
        <v>1833</v>
      </c>
      <c r="F22" s="42" t="s">
        <v>3560</v>
      </c>
      <c r="G22" s="7"/>
      <c r="H22" s="7"/>
    </row>
    <row r="23" spans="1:8" s="38" customFormat="1" x14ac:dyDescent="0.3">
      <c r="A23" s="97">
        <v>42842</v>
      </c>
      <c r="B23" s="38" t="s">
        <v>3546</v>
      </c>
      <c r="C23" s="38" t="s">
        <v>3562</v>
      </c>
      <c r="D23" s="42" t="s">
        <v>1837</v>
      </c>
      <c r="E23" s="42" t="s">
        <v>1833</v>
      </c>
      <c r="F23" s="42" t="s">
        <v>3560</v>
      </c>
      <c r="G23" s="7"/>
      <c r="H23" s="7"/>
    </row>
    <row r="24" spans="1:8" s="38" customFormat="1" x14ac:dyDescent="0.3">
      <c r="A24" s="97">
        <v>42842</v>
      </c>
      <c r="B24" s="38" t="s">
        <v>3547</v>
      </c>
      <c r="C24" s="38" t="s">
        <v>3563</v>
      </c>
      <c r="D24" s="42" t="s">
        <v>1837</v>
      </c>
      <c r="E24" s="42" t="s">
        <v>1833</v>
      </c>
      <c r="F24" s="42" t="s">
        <v>3560</v>
      </c>
      <c r="G24" s="7"/>
      <c r="H24" s="7"/>
    </row>
    <row r="25" spans="1:8" s="38" customFormat="1" x14ac:dyDescent="0.3">
      <c r="A25" s="97">
        <v>42842</v>
      </c>
      <c r="B25" s="38" t="s">
        <v>3548</v>
      </c>
      <c r="C25" s="38" t="s">
        <v>3564</v>
      </c>
      <c r="D25" s="42" t="s">
        <v>1837</v>
      </c>
      <c r="E25" s="42" t="s">
        <v>1833</v>
      </c>
      <c r="F25" s="42" t="s">
        <v>3560</v>
      </c>
      <c r="G25" s="7"/>
      <c r="H25" s="7"/>
    </row>
    <row r="26" spans="1:8" s="38" customFormat="1" x14ac:dyDescent="0.3">
      <c r="A26" s="97">
        <v>42842</v>
      </c>
      <c r="B26" s="38" t="s">
        <v>3549</v>
      </c>
      <c r="C26" s="38" t="s">
        <v>3565</v>
      </c>
      <c r="D26" s="42" t="s">
        <v>1836</v>
      </c>
      <c r="E26" s="42" t="s">
        <v>1833</v>
      </c>
      <c r="F26" s="42" t="s">
        <v>3560</v>
      </c>
      <c r="G26" s="7"/>
      <c r="H26" s="7"/>
    </row>
    <row r="27" spans="1:8" s="38" customFormat="1" x14ac:dyDescent="0.3">
      <c r="A27" s="97">
        <v>42842</v>
      </c>
      <c r="B27" s="38" t="s">
        <v>3550</v>
      </c>
      <c r="C27" s="38" t="s">
        <v>3566</v>
      </c>
      <c r="D27" s="42" t="s">
        <v>1836</v>
      </c>
      <c r="E27" s="42" t="s">
        <v>1833</v>
      </c>
      <c r="F27" s="42" t="s">
        <v>3560</v>
      </c>
      <c r="G27" s="7"/>
      <c r="H27" s="7"/>
    </row>
    <row r="28" spans="1:8" s="38" customFormat="1" x14ac:dyDescent="0.3">
      <c r="A28" s="97">
        <v>42842</v>
      </c>
      <c r="B28" s="38" t="s">
        <v>3551</v>
      </c>
      <c r="C28" s="38" t="s">
        <v>3567</v>
      </c>
      <c r="D28" s="42" t="s">
        <v>1836</v>
      </c>
      <c r="E28" s="42" t="s">
        <v>1833</v>
      </c>
      <c r="F28" s="42" t="s">
        <v>3560</v>
      </c>
      <c r="G28" s="7"/>
      <c r="H28" s="7"/>
    </row>
    <row r="29" spans="1:8" s="38" customFormat="1" x14ac:dyDescent="0.3">
      <c r="A29" s="97">
        <v>42842</v>
      </c>
      <c r="B29" s="38" t="s">
        <v>3552</v>
      </c>
      <c r="C29" s="38" t="s">
        <v>3568</v>
      </c>
      <c r="D29" s="42" t="s">
        <v>1836</v>
      </c>
      <c r="E29" s="42" t="s">
        <v>1833</v>
      </c>
      <c r="F29" s="42" t="s">
        <v>3560</v>
      </c>
      <c r="G29" s="7"/>
      <c r="H29" s="7"/>
    </row>
    <row r="30" spans="1:8" s="38" customFormat="1" x14ac:dyDescent="0.3">
      <c r="A30" s="97">
        <v>42842</v>
      </c>
      <c r="B30" s="38" t="s">
        <v>3553</v>
      </c>
      <c r="C30" s="38" t="s">
        <v>3569</v>
      </c>
      <c r="D30" s="42" t="s">
        <v>1836</v>
      </c>
      <c r="E30" s="42" t="s">
        <v>1833</v>
      </c>
      <c r="F30" s="42" t="s">
        <v>3560</v>
      </c>
      <c r="G30" s="7"/>
      <c r="H30" s="7"/>
    </row>
    <row r="31" spans="1:8" s="38" customFormat="1" x14ac:dyDescent="0.3">
      <c r="A31" s="97">
        <v>42842</v>
      </c>
      <c r="B31" s="38" t="s">
        <v>3554</v>
      </c>
      <c r="C31" s="38" t="s">
        <v>3570</v>
      </c>
      <c r="D31" s="42" t="s">
        <v>1835</v>
      </c>
      <c r="E31" s="42" t="s">
        <v>1833</v>
      </c>
      <c r="F31" s="42" t="s">
        <v>3560</v>
      </c>
      <c r="G31" s="7"/>
      <c r="H31" s="7"/>
    </row>
    <row r="32" spans="1:8" s="38" customFormat="1" x14ac:dyDescent="0.3">
      <c r="A32" s="97">
        <v>42842</v>
      </c>
      <c r="B32" s="38" t="s">
        <v>3555</v>
      </c>
      <c r="C32" s="38" t="s">
        <v>3571</v>
      </c>
      <c r="D32" s="42" t="s">
        <v>1835</v>
      </c>
      <c r="E32" s="42" t="s">
        <v>1833</v>
      </c>
      <c r="F32" s="42" t="s">
        <v>3560</v>
      </c>
      <c r="G32" s="7"/>
      <c r="H32" s="7"/>
    </row>
    <row r="33" spans="1:8" s="38" customFormat="1" x14ac:dyDescent="0.3">
      <c r="A33" s="97">
        <v>42842</v>
      </c>
      <c r="B33" s="38" t="s">
        <v>3556</v>
      </c>
      <c r="C33" s="38" t="s">
        <v>3572</v>
      </c>
      <c r="D33" s="42" t="s">
        <v>1835</v>
      </c>
      <c r="E33" s="42" t="s">
        <v>1833</v>
      </c>
      <c r="F33" s="42" t="s">
        <v>3560</v>
      </c>
      <c r="G33" s="7"/>
      <c r="H33" s="7"/>
    </row>
    <row r="34" spans="1:8" s="38" customFormat="1" x14ac:dyDescent="0.3">
      <c r="A34" s="97">
        <v>42842</v>
      </c>
      <c r="B34" s="38" t="s">
        <v>3557</v>
      </c>
      <c r="C34" s="38" t="s">
        <v>3573</v>
      </c>
      <c r="D34" s="42" t="s">
        <v>1835</v>
      </c>
      <c r="E34" s="42" t="s">
        <v>1833</v>
      </c>
      <c r="F34" s="42" t="s">
        <v>3560</v>
      </c>
      <c r="G34" s="7"/>
      <c r="H34" s="7"/>
    </row>
    <row r="35" spans="1:8" s="38" customFormat="1" x14ac:dyDescent="0.3">
      <c r="A35" s="97">
        <v>42842</v>
      </c>
      <c r="B35" s="38" t="s">
        <v>3558</v>
      </c>
      <c r="C35" s="38" t="s">
        <v>3574</v>
      </c>
      <c r="D35" s="42" t="s">
        <v>1835</v>
      </c>
      <c r="E35" s="42" t="s">
        <v>1833</v>
      </c>
      <c r="F35" s="42" t="s">
        <v>3560</v>
      </c>
      <c r="G35" s="7"/>
      <c r="H35" s="7"/>
    </row>
    <row r="36" spans="1:8" s="38" customFormat="1" x14ac:dyDescent="0.3">
      <c r="A36" s="97">
        <v>42842</v>
      </c>
      <c r="B36" s="38" t="s">
        <v>3776</v>
      </c>
      <c r="C36" s="38" t="s">
        <v>3777</v>
      </c>
      <c r="D36" s="42" t="s">
        <v>3832</v>
      </c>
      <c r="E36" s="42" t="s">
        <v>3713</v>
      </c>
      <c r="F36" s="42" t="s">
        <v>2013</v>
      </c>
      <c r="G36" s="7"/>
      <c r="H36" s="7"/>
    </row>
    <row r="37" spans="1:8" s="38" customFormat="1" x14ac:dyDescent="0.3">
      <c r="A37" s="97">
        <v>42842</v>
      </c>
      <c r="B37" s="38" t="s">
        <v>3790</v>
      </c>
      <c r="C37" s="38" t="s">
        <v>3791</v>
      </c>
      <c r="D37" s="42" t="s">
        <v>3820</v>
      </c>
      <c r="E37" s="42" t="s">
        <v>3713</v>
      </c>
      <c r="F37" s="42" t="s">
        <v>2014</v>
      </c>
      <c r="G37" s="7"/>
      <c r="H37" s="7"/>
    </row>
    <row r="38" spans="1:8" s="38" customFormat="1" x14ac:dyDescent="0.3">
      <c r="A38" s="97">
        <v>42842</v>
      </c>
      <c r="B38" s="38" t="s">
        <v>3792</v>
      </c>
      <c r="C38" s="38" t="s">
        <v>3793</v>
      </c>
      <c r="D38" s="42" t="s">
        <v>3821</v>
      </c>
      <c r="E38" s="42" t="s">
        <v>3713</v>
      </c>
      <c r="F38" s="42" t="s">
        <v>2014</v>
      </c>
      <c r="G38" s="7"/>
      <c r="H38" s="7"/>
    </row>
    <row r="39" spans="1:8" s="38" customFormat="1" x14ac:dyDescent="0.3">
      <c r="A39" s="97">
        <v>42842</v>
      </c>
      <c r="B39" s="38" t="s">
        <v>3794</v>
      </c>
      <c r="C39" s="38" t="s">
        <v>3795</v>
      </c>
      <c r="D39" s="42" t="s">
        <v>3822</v>
      </c>
      <c r="E39" s="42" t="s">
        <v>3713</v>
      </c>
      <c r="F39" s="42" t="s">
        <v>2014</v>
      </c>
      <c r="G39" s="7"/>
      <c r="H39" s="7"/>
    </row>
    <row r="40" spans="1:8" s="38" customFormat="1" x14ac:dyDescent="0.3">
      <c r="A40" s="97">
        <v>42842</v>
      </c>
      <c r="B40" s="38" t="s">
        <v>3778</v>
      </c>
      <c r="C40" s="38" t="s">
        <v>3779</v>
      </c>
      <c r="D40" s="42" t="s">
        <v>3814</v>
      </c>
      <c r="E40" s="42" t="s">
        <v>3713</v>
      </c>
      <c r="F40" s="42" t="s">
        <v>2014</v>
      </c>
      <c r="G40" s="7"/>
      <c r="H40" s="7"/>
    </row>
    <row r="41" spans="1:8" s="38" customFormat="1" x14ac:dyDescent="0.3">
      <c r="A41" s="97">
        <v>42842</v>
      </c>
      <c r="B41" s="38" t="s">
        <v>3780</v>
      </c>
      <c r="C41" s="38" t="s">
        <v>3781</v>
      </c>
      <c r="D41" s="42" t="s">
        <v>3815</v>
      </c>
      <c r="E41" s="42" t="s">
        <v>3713</v>
      </c>
      <c r="F41" s="42" t="s">
        <v>2014</v>
      </c>
      <c r="G41" s="7"/>
      <c r="H41" s="7"/>
    </row>
    <row r="42" spans="1:8" s="38" customFormat="1" x14ac:dyDescent="0.3">
      <c r="A42" s="97">
        <v>42842</v>
      </c>
      <c r="B42" s="38" t="s">
        <v>3782</v>
      </c>
      <c r="C42" s="38" t="s">
        <v>3783</v>
      </c>
      <c r="D42" s="42" t="s">
        <v>3816</v>
      </c>
      <c r="E42" s="42" t="s">
        <v>3713</v>
      </c>
      <c r="F42" s="42" t="s">
        <v>2014</v>
      </c>
      <c r="G42" s="7"/>
      <c r="H42" s="7"/>
    </row>
    <row r="43" spans="1:8" s="38" customFormat="1" x14ac:dyDescent="0.3">
      <c r="A43" s="97">
        <v>42842</v>
      </c>
      <c r="B43" s="38" t="s">
        <v>3784</v>
      </c>
      <c r="C43" s="38" t="s">
        <v>3785</v>
      </c>
      <c r="D43" s="42" t="s">
        <v>3817</v>
      </c>
      <c r="E43" s="42" t="s">
        <v>3713</v>
      </c>
      <c r="F43" s="42" t="s">
        <v>2014</v>
      </c>
      <c r="G43" s="7"/>
      <c r="H43" s="7"/>
    </row>
    <row r="44" spans="1:8" s="38" customFormat="1" x14ac:dyDescent="0.3">
      <c r="A44" s="97">
        <v>42842</v>
      </c>
      <c r="B44" s="38" t="s">
        <v>3786</v>
      </c>
      <c r="C44" s="38" t="s">
        <v>3787</v>
      </c>
      <c r="D44" s="42" t="s">
        <v>3818</v>
      </c>
      <c r="E44" s="42" t="s">
        <v>3713</v>
      </c>
      <c r="F44" s="42" t="s">
        <v>2014</v>
      </c>
      <c r="G44" s="7"/>
      <c r="H44" s="7"/>
    </row>
    <row r="45" spans="1:8" s="38" customFormat="1" x14ac:dyDescent="0.3">
      <c r="A45" s="97">
        <v>42842</v>
      </c>
      <c r="B45" s="38" t="s">
        <v>3788</v>
      </c>
      <c r="C45" s="38" t="s">
        <v>3789</v>
      </c>
      <c r="D45" s="42" t="s">
        <v>3819</v>
      </c>
      <c r="E45" s="42" t="s">
        <v>3713</v>
      </c>
      <c r="F45" s="42" t="s">
        <v>2014</v>
      </c>
      <c r="G45" s="7"/>
      <c r="H45" s="7"/>
    </row>
    <row r="46" spans="1:8" s="38" customFormat="1" x14ac:dyDescent="0.3">
      <c r="A46" s="97">
        <v>42842</v>
      </c>
      <c r="B46" s="38" t="s">
        <v>3808</v>
      </c>
      <c r="C46" s="38" t="s">
        <v>3809</v>
      </c>
      <c r="D46" s="42" t="s">
        <v>3829</v>
      </c>
      <c r="E46" s="42" t="s">
        <v>3713</v>
      </c>
      <c r="F46" s="42" t="s">
        <v>2015</v>
      </c>
      <c r="G46" s="7"/>
      <c r="H46" s="7"/>
    </row>
    <row r="47" spans="1:8" s="38" customFormat="1" x14ac:dyDescent="0.3">
      <c r="A47" s="97">
        <v>42842</v>
      </c>
      <c r="B47" s="38" t="s">
        <v>3810</v>
      </c>
      <c r="C47" s="38" t="s">
        <v>3811</v>
      </c>
      <c r="D47" s="42" t="s">
        <v>3830</v>
      </c>
      <c r="E47" s="42" t="s">
        <v>3713</v>
      </c>
      <c r="F47" s="42" t="s">
        <v>2015</v>
      </c>
      <c r="G47" s="7"/>
      <c r="H47" s="7"/>
    </row>
    <row r="48" spans="1:8" s="38" customFormat="1" x14ac:dyDescent="0.3">
      <c r="A48" s="97">
        <v>42842</v>
      </c>
      <c r="B48" s="38" t="s">
        <v>3812</v>
      </c>
      <c r="C48" s="38" t="s">
        <v>3813</v>
      </c>
      <c r="D48" s="42" t="s">
        <v>3831</v>
      </c>
      <c r="E48" s="42" t="s">
        <v>3713</v>
      </c>
      <c r="F48" s="42" t="s">
        <v>2015</v>
      </c>
      <c r="G48" s="7"/>
      <c r="H48" s="7"/>
    </row>
    <row r="49" spans="1:8" s="38" customFormat="1" x14ac:dyDescent="0.3">
      <c r="A49" s="97">
        <v>42842</v>
      </c>
      <c r="B49" s="38" t="s">
        <v>3796</v>
      </c>
      <c r="C49" s="38" t="s">
        <v>3797</v>
      </c>
      <c r="D49" s="42" t="s">
        <v>3823</v>
      </c>
      <c r="E49" s="42" t="s">
        <v>3713</v>
      </c>
      <c r="F49" s="42" t="s">
        <v>2015</v>
      </c>
      <c r="G49" s="7"/>
      <c r="H49" s="7"/>
    </row>
    <row r="50" spans="1:8" s="38" customFormat="1" x14ac:dyDescent="0.3">
      <c r="A50" s="97">
        <v>42842</v>
      </c>
      <c r="B50" s="38" t="s">
        <v>3798</v>
      </c>
      <c r="C50" s="38" t="s">
        <v>3799</v>
      </c>
      <c r="D50" s="42" t="s">
        <v>3824</v>
      </c>
      <c r="E50" s="42" t="s">
        <v>3713</v>
      </c>
      <c r="F50" s="42" t="s">
        <v>2015</v>
      </c>
      <c r="G50" s="7"/>
      <c r="H50" s="7"/>
    </row>
    <row r="51" spans="1:8" s="38" customFormat="1" x14ac:dyDescent="0.3">
      <c r="A51" s="97">
        <v>42842</v>
      </c>
      <c r="B51" s="38" t="s">
        <v>3800</v>
      </c>
      <c r="C51" s="38" t="s">
        <v>3801</v>
      </c>
      <c r="D51" s="42" t="s">
        <v>3825</v>
      </c>
      <c r="E51" s="42" t="s">
        <v>3713</v>
      </c>
      <c r="F51" s="42" t="s">
        <v>2015</v>
      </c>
      <c r="G51" s="7"/>
      <c r="H51" s="7"/>
    </row>
    <row r="52" spans="1:8" s="38" customFormat="1" x14ac:dyDescent="0.3">
      <c r="A52" s="97">
        <v>42842</v>
      </c>
      <c r="B52" s="38" t="s">
        <v>3802</v>
      </c>
      <c r="C52" s="38" t="s">
        <v>3803</v>
      </c>
      <c r="D52" s="42" t="s">
        <v>3826</v>
      </c>
      <c r="E52" s="42" t="s">
        <v>3713</v>
      </c>
      <c r="F52" s="42" t="s">
        <v>2015</v>
      </c>
      <c r="G52" s="7"/>
      <c r="H52" s="7"/>
    </row>
    <row r="53" spans="1:8" s="38" customFormat="1" x14ac:dyDescent="0.3">
      <c r="A53" s="97">
        <v>42842</v>
      </c>
      <c r="B53" s="38" t="s">
        <v>3804</v>
      </c>
      <c r="C53" s="38" t="s">
        <v>3805</v>
      </c>
      <c r="D53" s="42" t="s">
        <v>3827</v>
      </c>
      <c r="E53" s="42" t="s">
        <v>3713</v>
      </c>
      <c r="F53" s="42" t="s">
        <v>2015</v>
      </c>
      <c r="G53" s="7"/>
      <c r="H53" s="7"/>
    </row>
    <row r="54" spans="1:8" s="38" customFormat="1" x14ac:dyDescent="0.3">
      <c r="A54" s="97">
        <v>42842</v>
      </c>
      <c r="B54" s="38" t="s">
        <v>3806</v>
      </c>
      <c r="C54" s="38" t="s">
        <v>3807</v>
      </c>
      <c r="D54" s="42" t="s">
        <v>3828</v>
      </c>
      <c r="E54" s="42" t="s">
        <v>3713</v>
      </c>
      <c r="F54" s="42" t="s">
        <v>2015</v>
      </c>
      <c r="G54" s="7"/>
      <c r="H54" s="7"/>
    </row>
    <row r="55" spans="1:8" s="38" customFormat="1" x14ac:dyDescent="0.3">
      <c r="A55" s="97">
        <v>42842</v>
      </c>
      <c r="B55" s="38" t="s">
        <v>3575</v>
      </c>
      <c r="C55" s="38" t="s">
        <v>3715</v>
      </c>
      <c r="D55" s="42" t="s">
        <v>3613</v>
      </c>
      <c r="E55" s="42" t="s">
        <v>3663</v>
      </c>
      <c r="F55" s="42" t="s">
        <v>3614</v>
      </c>
      <c r="G55" s="7"/>
      <c r="H55" s="7"/>
    </row>
    <row r="56" spans="1:8" s="38" customFormat="1" x14ac:dyDescent="0.3">
      <c r="A56" s="97">
        <v>42842</v>
      </c>
      <c r="B56" s="38" t="s">
        <v>3576</v>
      </c>
      <c r="C56" s="38" t="s">
        <v>3716</v>
      </c>
      <c r="D56" s="42" t="s">
        <v>3615</v>
      </c>
      <c r="E56" s="42" t="s">
        <v>3663</v>
      </c>
      <c r="F56" s="42" t="s">
        <v>3614</v>
      </c>
      <c r="G56" s="7"/>
      <c r="H56" s="7"/>
    </row>
    <row r="57" spans="1:8" s="38" customFormat="1" x14ac:dyDescent="0.3">
      <c r="A57" s="97">
        <v>42842</v>
      </c>
      <c r="B57" s="38" t="s">
        <v>3577</v>
      </c>
      <c r="C57" s="38" t="s">
        <v>3717</v>
      </c>
      <c r="D57" s="42" t="s">
        <v>3616</v>
      </c>
      <c r="E57" s="42" t="s">
        <v>3663</v>
      </c>
      <c r="F57" s="42" t="s">
        <v>3614</v>
      </c>
      <c r="G57" s="7"/>
      <c r="H57" s="7"/>
    </row>
    <row r="58" spans="1:8" s="38" customFormat="1" x14ac:dyDescent="0.3">
      <c r="A58" s="97">
        <v>42842</v>
      </c>
      <c r="B58" s="38" t="s">
        <v>3578</v>
      </c>
      <c r="C58" s="38" t="s">
        <v>3718</v>
      </c>
      <c r="D58" s="42" t="s">
        <v>3617</v>
      </c>
      <c r="E58" s="42" t="s">
        <v>3663</v>
      </c>
      <c r="F58" s="42" t="s">
        <v>3614</v>
      </c>
      <c r="G58" s="7"/>
      <c r="H58" s="7"/>
    </row>
    <row r="59" spans="1:8" s="38" customFormat="1" x14ac:dyDescent="0.3">
      <c r="A59" s="97">
        <v>42842</v>
      </c>
      <c r="B59" s="38" t="s">
        <v>3579</v>
      </c>
      <c r="C59" s="38" t="s">
        <v>3719</v>
      </c>
      <c r="D59" s="42" t="s">
        <v>3618</v>
      </c>
      <c r="E59" s="42" t="s">
        <v>3663</v>
      </c>
      <c r="F59" s="42" t="s">
        <v>3614</v>
      </c>
      <c r="G59" s="7"/>
      <c r="H59" s="7"/>
    </row>
    <row r="60" spans="1:8" s="38" customFormat="1" x14ac:dyDescent="0.3">
      <c r="A60" s="97">
        <v>42842</v>
      </c>
      <c r="B60" s="38" t="s">
        <v>3580</v>
      </c>
      <c r="C60" s="38" t="s">
        <v>3720</v>
      </c>
      <c r="D60" s="42" t="s">
        <v>3619</v>
      </c>
      <c r="E60" s="42" t="s">
        <v>3663</v>
      </c>
      <c r="F60" s="42" t="s">
        <v>3614</v>
      </c>
      <c r="G60" s="7"/>
      <c r="H60" s="7"/>
    </row>
    <row r="61" spans="1:8" s="38" customFormat="1" x14ac:dyDescent="0.3">
      <c r="A61" s="97">
        <v>42842</v>
      </c>
      <c r="B61" s="38" t="s">
        <v>3581</v>
      </c>
      <c r="C61" s="38" t="s">
        <v>3721</v>
      </c>
      <c r="D61" s="42" t="s">
        <v>3620</v>
      </c>
      <c r="E61" s="42" t="s">
        <v>3663</v>
      </c>
      <c r="F61" s="42" t="s">
        <v>3614</v>
      </c>
      <c r="G61" s="7"/>
      <c r="H61" s="7"/>
    </row>
    <row r="62" spans="1:8" s="38" customFormat="1" x14ac:dyDescent="0.3">
      <c r="A62" s="97">
        <v>42842</v>
      </c>
      <c r="B62" s="38" t="s">
        <v>3582</v>
      </c>
      <c r="C62" s="38" t="s">
        <v>3743</v>
      </c>
      <c r="D62" s="42" t="s">
        <v>3621</v>
      </c>
      <c r="E62" s="42" t="s">
        <v>3663</v>
      </c>
      <c r="F62" s="42" t="s">
        <v>3614</v>
      </c>
      <c r="G62" s="7"/>
      <c r="H62" s="7"/>
    </row>
    <row r="63" spans="1:8" s="38" customFormat="1" x14ac:dyDescent="0.3">
      <c r="A63" s="97">
        <v>42842</v>
      </c>
      <c r="B63" s="38" t="s">
        <v>3583</v>
      </c>
      <c r="C63" s="38" t="s">
        <v>3722</v>
      </c>
      <c r="D63" s="42" t="s">
        <v>3622</v>
      </c>
      <c r="E63" s="42" t="s">
        <v>3663</v>
      </c>
      <c r="F63" s="42" t="s">
        <v>3614</v>
      </c>
      <c r="G63" s="7"/>
      <c r="H63" s="7"/>
    </row>
    <row r="64" spans="1:8" s="38" customFormat="1" x14ac:dyDescent="0.3">
      <c r="A64" s="97">
        <v>42842</v>
      </c>
      <c r="B64" s="38" t="s">
        <v>3584</v>
      </c>
      <c r="C64" s="38" t="s">
        <v>3744</v>
      </c>
      <c r="D64" s="42" t="s">
        <v>3623</v>
      </c>
      <c r="E64" s="42" t="s">
        <v>3663</v>
      </c>
      <c r="F64" s="42" t="s">
        <v>3614</v>
      </c>
      <c r="G64" s="7"/>
      <c r="H64" s="7"/>
    </row>
    <row r="65" spans="1:8" s="38" customFormat="1" x14ac:dyDescent="0.3">
      <c r="A65" s="97">
        <v>42842</v>
      </c>
      <c r="B65" s="38" t="s">
        <v>3585</v>
      </c>
      <c r="C65" s="38" t="s">
        <v>3723</v>
      </c>
      <c r="D65" s="42" t="s">
        <v>3624</v>
      </c>
      <c r="E65" s="42" t="s">
        <v>3663</v>
      </c>
      <c r="F65" s="42" t="s">
        <v>3614</v>
      </c>
      <c r="G65" s="7"/>
      <c r="H65" s="7"/>
    </row>
    <row r="66" spans="1:8" s="38" customFormat="1" x14ac:dyDescent="0.3">
      <c r="A66" s="97">
        <v>42842</v>
      </c>
      <c r="B66" s="38" t="s">
        <v>3586</v>
      </c>
      <c r="C66" s="38" t="s">
        <v>3724</v>
      </c>
      <c r="D66" s="42" t="s">
        <v>3625</v>
      </c>
      <c r="E66" s="42" t="s">
        <v>3663</v>
      </c>
      <c r="F66" s="42" t="s">
        <v>3614</v>
      </c>
      <c r="G66" s="7"/>
      <c r="H66" s="7"/>
    </row>
    <row r="67" spans="1:8" s="38" customFormat="1" x14ac:dyDescent="0.3">
      <c r="A67" s="97">
        <v>42842</v>
      </c>
      <c r="B67" s="38" t="s">
        <v>3587</v>
      </c>
      <c r="C67" s="38" t="s">
        <v>3725</v>
      </c>
      <c r="D67" s="42" t="s">
        <v>3626</v>
      </c>
      <c r="E67" s="42" t="s">
        <v>3663</v>
      </c>
      <c r="F67" s="42" t="s">
        <v>3614</v>
      </c>
      <c r="G67" s="7"/>
      <c r="H67" s="7"/>
    </row>
    <row r="68" spans="1:8" s="38" customFormat="1" x14ac:dyDescent="0.3">
      <c r="A68" s="97">
        <v>42842</v>
      </c>
      <c r="B68" s="38" t="s">
        <v>3588</v>
      </c>
      <c r="C68" s="38" t="s">
        <v>3726</v>
      </c>
      <c r="D68" s="42" t="s">
        <v>3627</v>
      </c>
      <c r="E68" s="42" t="s">
        <v>3663</v>
      </c>
      <c r="F68" s="42" t="s">
        <v>3614</v>
      </c>
      <c r="G68" s="7"/>
      <c r="H68" s="7"/>
    </row>
    <row r="69" spans="1:8" s="38" customFormat="1" x14ac:dyDescent="0.3">
      <c r="A69" s="97">
        <v>42842</v>
      </c>
      <c r="B69" s="38" t="s">
        <v>3589</v>
      </c>
      <c r="C69" s="38" t="s">
        <v>3727</v>
      </c>
      <c r="D69" s="42" t="s">
        <v>3628</v>
      </c>
      <c r="E69" s="42" t="s">
        <v>3663</v>
      </c>
      <c r="F69" s="42" t="s">
        <v>3614</v>
      </c>
      <c r="G69" s="7"/>
      <c r="H69" s="7"/>
    </row>
    <row r="70" spans="1:8" s="38" customFormat="1" x14ac:dyDescent="0.3">
      <c r="A70" s="97">
        <v>42842</v>
      </c>
      <c r="B70" s="38" t="s">
        <v>3590</v>
      </c>
      <c r="C70" s="38" t="s">
        <v>3728</v>
      </c>
      <c r="D70" s="42" t="s">
        <v>3629</v>
      </c>
      <c r="E70" s="42" t="s">
        <v>3663</v>
      </c>
      <c r="F70" s="42" t="s">
        <v>3614</v>
      </c>
      <c r="G70" s="7"/>
      <c r="H70" s="7"/>
    </row>
    <row r="71" spans="1:8" s="38" customFormat="1" x14ac:dyDescent="0.3">
      <c r="A71" s="97">
        <v>42842</v>
      </c>
      <c r="B71" s="38" t="s">
        <v>3591</v>
      </c>
      <c r="C71" s="38" t="s">
        <v>3729</v>
      </c>
      <c r="D71" s="42" t="s">
        <v>3630</v>
      </c>
      <c r="E71" s="42" t="s">
        <v>3663</v>
      </c>
      <c r="F71" s="42" t="s">
        <v>3614</v>
      </c>
      <c r="G71" s="7"/>
      <c r="H71" s="7"/>
    </row>
    <row r="72" spans="1:8" s="38" customFormat="1" x14ac:dyDescent="0.3">
      <c r="A72" s="97">
        <v>42842</v>
      </c>
      <c r="B72" s="38" t="s">
        <v>3592</v>
      </c>
      <c r="C72" s="38" t="s">
        <v>3730</v>
      </c>
      <c r="D72" s="42" t="s">
        <v>3631</v>
      </c>
      <c r="E72" s="42" t="s">
        <v>3663</v>
      </c>
      <c r="F72" s="42" t="s">
        <v>3614</v>
      </c>
      <c r="G72" s="7"/>
      <c r="H72" s="7"/>
    </row>
    <row r="73" spans="1:8" s="38" customFormat="1" x14ac:dyDescent="0.3">
      <c r="A73" s="97">
        <v>42842</v>
      </c>
      <c r="B73" s="38" t="s">
        <v>3593</v>
      </c>
      <c r="C73" s="38" t="s">
        <v>3731</v>
      </c>
      <c r="D73" s="42" t="s">
        <v>3632</v>
      </c>
      <c r="E73" s="42" t="s">
        <v>3663</v>
      </c>
      <c r="F73" s="42" t="s">
        <v>3614</v>
      </c>
      <c r="G73" s="7"/>
      <c r="H73" s="7"/>
    </row>
    <row r="74" spans="1:8" s="38" customFormat="1" x14ac:dyDescent="0.3">
      <c r="A74" s="97">
        <v>42842</v>
      </c>
      <c r="B74" s="38" t="s">
        <v>3594</v>
      </c>
      <c r="C74" s="38" t="s">
        <v>3732</v>
      </c>
      <c r="D74" s="42" t="s">
        <v>3633</v>
      </c>
      <c r="E74" s="42" t="s">
        <v>3663</v>
      </c>
      <c r="F74" s="42" t="s">
        <v>3614</v>
      </c>
      <c r="G74" s="7"/>
      <c r="H74" s="7"/>
    </row>
    <row r="75" spans="1:8" s="38" customFormat="1" x14ac:dyDescent="0.3">
      <c r="A75" s="97">
        <v>42842</v>
      </c>
      <c r="B75" s="38" t="s">
        <v>3595</v>
      </c>
      <c r="C75" s="38" t="s">
        <v>3733</v>
      </c>
      <c r="D75" s="42" t="s">
        <v>3634</v>
      </c>
      <c r="E75" s="42" t="s">
        <v>3663</v>
      </c>
      <c r="F75" s="42" t="s">
        <v>3614</v>
      </c>
      <c r="G75" s="7"/>
      <c r="H75" s="7"/>
    </row>
    <row r="76" spans="1:8" s="38" customFormat="1" x14ac:dyDescent="0.3">
      <c r="A76" s="97">
        <v>42842</v>
      </c>
      <c r="B76" s="38" t="s">
        <v>3596</v>
      </c>
      <c r="C76" s="38" t="s">
        <v>3734</v>
      </c>
      <c r="D76" s="42" t="s">
        <v>3635</v>
      </c>
      <c r="E76" s="42" t="s">
        <v>3663</v>
      </c>
      <c r="F76" s="42" t="s">
        <v>3614</v>
      </c>
      <c r="G76" s="7"/>
      <c r="H76" s="7"/>
    </row>
    <row r="77" spans="1:8" s="38" customFormat="1" x14ac:dyDescent="0.3">
      <c r="A77" s="97">
        <v>42842</v>
      </c>
      <c r="B77" s="38" t="s">
        <v>3597</v>
      </c>
      <c r="C77" s="38" t="s">
        <v>3735</v>
      </c>
      <c r="D77" s="42" t="s">
        <v>3636</v>
      </c>
      <c r="E77" s="42" t="s">
        <v>3663</v>
      </c>
      <c r="F77" s="42" t="s">
        <v>3614</v>
      </c>
      <c r="G77" s="7"/>
      <c r="H77" s="7"/>
    </row>
    <row r="78" spans="1:8" s="38" customFormat="1" x14ac:dyDescent="0.3">
      <c r="A78" s="97">
        <v>42842</v>
      </c>
      <c r="B78" s="38" t="s">
        <v>3598</v>
      </c>
      <c r="C78" s="38" t="s">
        <v>3736</v>
      </c>
      <c r="D78" s="42" t="s">
        <v>3637</v>
      </c>
      <c r="E78" s="42" t="s">
        <v>3663</v>
      </c>
      <c r="F78" s="42" t="s">
        <v>3614</v>
      </c>
      <c r="G78" s="7"/>
      <c r="H78" s="7"/>
    </row>
    <row r="79" spans="1:8" s="38" customFormat="1" x14ac:dyDescent="0.3">
      <c r="A79" s="97">
        <v>42842</v>
      </c>
      <c r="B79" s="38" t="s">
        <v>3599</v>
      </c>
      <c r="C79" s="38" t="s">
        <v>3737</v>
      </c>
      <c r="D79" s="42" t="s">
        <v>3638</v>
      </c>
      <c r="E79" s="42" t="s">
        <v>3663</v>
      </c>
      <c r="F79" s="42" t="s">
        <v>3614</v>
      </c>
      <c r="G79" s="7"/>
      <c r="H79" s="7"/>
    </row>
    <row r="80" spans="1:8" s="38" customFormat="1" x14ac:dyDescent="0.3">
      <c r="A80" s="97">
        <v>42842</v>
      </c>
      <c r="B80" s="38" t="s">
        <v>3600</v>
      </c>
      <c r="C80" s="38" t="s">
        <v>3738</v>
      </c>
      <c r="D80" s="42" t="s">
        <v>3639</v>
      </c>
      <c r="E80" s="42" t="s">
        <v>3663</v>
      </c>
      <c r="F80" s="42" t="s">
        <v>3614</v>
      </c>
      <c r="G80" s="7"/>
      <c r="H80" s="7"/>
    </row>
    <row r="81" spans="1:8" s="38" customFormat="1" x14ac:dyDescent="0.3">
      <c r="A81" s="97">
        <v>42842</v>
      </c>
      <c r="B81" s="38" t="s">
        <v>3601</v>
      </c>
      <c r="C81" s="38" t="s">
        <v>3739</v>
      </c>
      <c r="D81" s="42" t="s">
        <v>3640</v>
      </c>
      <c r="E81" s="42" t="s">
        <v>3663</v>
      </c>
      <c r="F81" s="42" t="s">
        <v>3614</v>
      </c>
      <c r="G81" s="7"/>
      <c r="H81" s="7"/>
    </row>
    <row r="82" spans="1:8" s="38" customFormat="1" x14ac:dyDescent="0.3">
      <c r="A82" s="97">
        <v>42842</v>
      </c>
      <c r="B82" s="38" t="s">
        <v>3602</v>
      </c>
      <c r="C82" s="38" t="s">
        <v>3740</v>
      </c>
      <c r="D82" s="42" t="s">
        <v>3641</v>
      </c>
      <c r="E82" s="42" t="s">
        <v>3663</v>
      </c>
      <c r="F82" s="42" t="s">
        <v>3614</v>
      </c>
      <c r="G82" s="7"/>
      <c r="H82" s="7"/>
    </row>
    <row r="83" spans="1:8" s="38" customFormat="1" x14ac:dyDescent="0.3">
      <c r="A83" s="97">
        <v>42842</v>
      </c>
      <c r="B83" s="38" t="s">
        <v>3603</v>
      </c>
      <c r="C83" s="38" t="s">
        <v>3741</v>
      </c>
      <c r="D83" s="42" t="s">
        <v>3642</v>
      </c>
      <c r="E83" s="42" t="s">
        <v>3663</v>
      </c>
      <c r="F83" s="42" t="s">
        <v>3614</v>
      </c>
      <c r="G83" s="7"/>
      <c r="H83" s="7"/>
    </row>
    <row r="84" spans="1:8" s="38" customFormat="1" x14ac:dyDescent="0.3">
      <c r="A84" s="97">
        <v>42842</v>
      </c>
      <c r="B84" s="38" t="s">
        <v>3604</v>
      </c>
      <c r="C84" s="38" t="s">
        <v>3742</v>
      </c>
      <c r="D84" s="42" t="s">
        <v>3643</v>
      </c>
      <c r="E84" s="42" t="s">
        <v>3663</v>
      </c>
      <c r="F84" s="42" t="s">
        <v>3614</v>
      </c>
      <c r="G84" s="7"/>
      <c r="H84" s="7"/>
    </row>
    <row r="85" spans="1:8" s="38" customFormat="1" x14ac:dyDescent="0.3">
      <c r="A85" s="97">
        <v>42842</v>
      </c>
      <c r="B85" s="38" t="s">
        <v>3605</v>
      </c>
      <c r="C85" s="38" t="s">
        <v>3606</v>
      </c>
      <c r="D85" s="42" t="s">
        <v>3644</v>
      </c>
      <c r="E85" s="42" t="s">
        <v>3663</v>
      </c>
      <c r="F85" s="42" t="s">
        <v>3614</v>
      </c>
      <c r="G85" s="7"/>
      <c r="H85" s="7"/>
    </row>
    <row r="86" spans="1:8" s="38" customFormat="1" x14ac:dyDescent="0.3">
      <c r="A86" s="97">
        <v>42842</v>
      </c>
      <c r="B86" s="38" t="s">
        <v>3607</v>
      </c>
      <c r="C86" s="38" t="s">
        <v>3608</v>
      </c>
      <c r="D86" s="42" t="s">
        <v>3645</v>
      </c>
      <c r="E86" s="42" t="s">
        <v>3663</v>
      </c>
      <c r="F86" s="42" t="s">
        <v>3614</v>
      </c>
      <c r="G86" s="7"/>
      <c r="H86" s="7"/>
    </row>
    <row r="87" spans="1:8" s="38" customFormat="1" x14ac:dyDescent="0.3">
      <c r="A87" s="97">
        <v>42842</v>
      </c>
      <c r="B87" s="38" t="s">
        <v>3609</v>
      </c>
      <c r="C87" s="38" t="s">
        <v>3610</v>
      </c>
      <c r="D87" s="42" t="s">
        <v>3646</v>
      </c>
      <c r="E87" s="42" t="s">
        <v>3663</v>
      </c>
      <c r="F87" s="42" t="s">
        <v>3614</v>
      </c>
      <c r="G87" s="7"/>
      <c r="H87" s="7"/>
    </row>
    <row r="88" spans="1:8" s="38" customFormat="1" x14ac:dyDescent="0.3">
      <c r="A88" s="97">
        <v>42842</v>
      </c>
      <c r="B88" s="38" t="s">
        <v>3611</v>
      </c>
      <c r="C88" s="38" t="s">
        <v>3612</v>
      </c>
      <c r="D88" s="42" t="s">
        <v>3647</v>
      </c>
      <c r="E88" s="42" t="s">
        <v>3663</v>
      </c>
      <c r="F88" s="42" t="s">
        <v>3614</v>
      </c>
      <c r="G88" s="7"/>
      <c r="H88" s="7"/>
    </row>
    <row r="89" spans="1:8" s="38" customFormat="1" x14ac:dyDescent="0.3">
      <c r="A89" s="119">
        <v>42902</v>
      </c>
      <c r="B89" s="7" t="s">
        <v>3881</v>
      </c>
      <c r="C89" t="s">
        <v>3882</v>
      </c>
      <c r="D89" t="s">
        <v>3883</v>
      </c>
      <c r="E89" t="s">
        <v>3025</v>
      </c>
      <c r="F89" t="s">
        <v>399</v>
      </c>
      <c r="G89" s="7"/>
      <c r="H89" s="7"/>
    </row>
    <row r="90" spans="1:8" s="38" customFormat="1" x14ac:dyDescent="0.3">
      <c r="A90" s="119">
        <v>42902</v>
      </c>
      <c r="B90" s="7" t="s">
        <v>3884</v>
      </c>
      <c r="C90" t="s">
        <v>3885</v>
      </c>
      <c r="D90" t="s">
        <v>3886</v>
      </c>
      <c r="E90" t="s">
        <v>3025</v>
      </c>
      <c r="F90" t="s">
        <v>399</v>
      </c>
      <c r="G90" s="7"/>
      <c r="H90" s="7"/>
    </row>
    <row r="91" spans="1:8" s="38" customFormat="1" x14ac:dyDescent="0.3">
      <c r="A91" s="119">
        <v>42902</v>
      </c>
      <c r="B91" s="7" t="s">
        <v>3887</v>
      </c>
      <c r="C91" t="s">
        <v>3888</v>
      </c>
      <c r="D91" t="s">
        <v>3889</v>
      </c>
      <c r="E91" t="s">
        <v>3025</v>
      </c>
      <c r="F91" t="s">
        <v>399</v>
      </c>
      <c r="G91" s="7"/>
      <c r="H91" s="7"/>
    </row>
    <row r="92" spans="1:8" s="38" customFormat="1" x14ac:dyDescent="0.3">
      <c r="A92" s="119">
        <v>42902</v>
      </c>
      <c r="B92" s="7" t="s">
        <v>3890</v>
      </c>
      <c r="C92" t="s">
        <v>3891</v>
      </c>
      <c r="D92" t="s">
        <v>3892</v>
      </c>
      <c r="E92" t="s">
        <v>3025</v>
      </c>
      <c r="F92" t="s">
        <v>399</v>
      </c>
      <c r="G92" s="7"/>
      <c r="H92" s="7"/>
    </row>
    <row r="93" spans="1:8" s="38" customFormat="1" x14ac:dyDescent="0.3">
      <c r="A93" s="119">
        <v>42902</v>
      </c>
      <c r="B93" s="7" t="s">
        <v>3893</v>
      </c>
      <c r="C93" t="s">
        <v>3894</v>
      </c>
      <c r="D93" t="s">
        <v>3895</v>
      </c>
      <c r="E93" t="s">
        <v>3025</v>
      </c>
      <c r="F93" t="s">
        <v>399</v>
      </c>
      <c r="G93" s="7"/>
      <c r="H93" s="7"/>
    </row>
    <row r="94" spans="1:8" s="38" customFormat="1" x14ac:dyDescent="0.3">
      <c r="A94" s="119">
        <v>42902</v>
      </c>
      <c r="B94" s="7" t="s">
        <v>3896</v>
      </c>
      <c r="C94" t="s">
        <v>3897</v>
      </c>
      <c r="D94" t="s">
        <v>3898</v>
      </c>
      <c r="E94" t="s">
        <v>3025</v>
      </c>
      <c r="F94" t="s">
        <v>399</v>
      </c>
      <c r="G94" s="7"/>
      <c r="H94" s="7"/>
    </row>
    <row r="95" spans="1:8" s="38" customFormat="1" x14ac:dyDescent="0.3">
      <c r="A95" s="119">
        <v>42902</v>
      </c>
      <c r="B95" s="7" t="s">
        <v>3899</v>
      </c>
      <c r="C95" t="s">
        <v>3900</v>
      </c>
      <c r="D95" t="s">
        <v>3901</v>
      </c>
      <c r="E95" t="s">
        <v>3025</v>
      </c>
      <c r="F95" t="s">
        <v>399</v>
      </c>
      <c r="G95" s="7"/>
      <c r="H95" s="7"/>
    </row>
    <row r="96" spans="1:8" s="38" customFormat="1" x14ac:dyDescent="0.3">
      <c r="A96" s="119">
        <v>42902</v>
      </c>
      <c r="B96" s="7" t="s">
        <v>3902</v>
      </c>
      <c r="C96" t="s">
        <v>3903</v>
      </c>
      <c r="D96" t="s">
        <v>3904</v>
      </c>
      <c r="E96" t="s">
        <v>3025</v>
      </c>
      <c r="F96" t="s">
        <v>399</v>
      </c>
      <c r="G96" s="7"/>
      <c r="H96" s="7"/>
    </row>
    <row r="97" spans="1:8" s="38" customFormat="1" x14ac:dyDescent="0.3">
      <c r="A97" s="119">
        <v>42902</v>
      </c>
      <c r="B97" s="7" t="s">
        <v>3905</v>
      </c>
      <c r="C97" t="s">
        <v>3906</v>
      </c>
      <c r="D97" t="s">
        <v>3907</v>
      </c>
      <c r="E97" t="s">
        <v>3025</v>
      </c>
      <c r="F97" t="s">
        <v>399</v>
      </c>
      <c r="G97" s="7"/>
      <c r="H97" s="7"/>
    </row>
    <row r="98" spans="1:8" s="38" customFormat="1" x14ac:dyDescent="0.3">
      <c r="A98" s="97">
        <v>42917</v>
      </c>
      <c r="B98" s="45" t="s">
        <v>3863</v>
      </c>
      <c r="C98" s="38" t="s">
        <v>3864</v>
      </c>
      <c r="D98" s="42" t="s">
        <v>3875</v>
      </c>
      <c r="E98" s="42" t="s">
        <v>3873</v>
      </c>
      <c r="F98" s="42" t="s">
        <v>3874</v>
      </c>
      <c r="G98" s="7"/>
      <c r="H98" s="7"/>
    </row>
    <row r="99" spans="1:8" s="38" customFormat="1" x14ac:dyDescent="0.3">
      <c r="A99" s="97">
        <v>42917</v>
      </c>
      <c r="B99" s="45" t="s">
        <v>3865</v>
      </c>
      <c r="C99" s="38" t="s">
        <v>3866</v>
      </c>
      <c r="D99" s="42" t="s">
        <v>3876</v>
      </c>
      <c r="E99" s="42" t="s">
        <v>3873</v>
      </c>
      <c r="F99" s="42" t="s">
        <v>3874</v>
      </c>
      <c r="G99" s="7"/>
      <c r="H99" s="7"/>
    </row>
    <row r="100" spans="1:8" s="38" customFormat="1" x14ac:dyDescent="0.3">
      <c r="A100" s="97">
        <v>42917</v>
      </c>
      <c r="B100" s="45" t="s">
        <v>3867</v>
      </c>
      <c r="C100" s="38" t="s">
        <v>3868</v>
      </c>
      <c r="D100" s="42" t="s">
        <v>3877</v>
      </c>
      <c r="E100" s="42" t="s">
        <v>3873</v>
      </c>
      <c r="F100" s="42" t="s">
        <v>3874</v>
      </c>
      <c r="G100" s="7"/>
      <c r="H100" s="7"/>
    </row>
    <row r="101" spans="1:8" s="38" customFormat="1" x14ac:dyDescent="0.3">
      <c r="A101" s="97">
        <v>42917</v>
      </c>
      <c r="B101" s="45" t="s">
        <v>3869</v>
      </c>
      <c r="C101" s="38" t="s">
        <v>3870</v>
      </c>
      <c r="D101" s="42" t="s">
        <v>3878</v>
      </c>
      <c r="E101" s="42" t="s">
        <v>3873</v>
      </c>
      <c r="F101" s="42" t="s">
        <v>3874</v>
      </c>
      <c r="G101" s="7"/>
      <c r="H101" s="7"/>
    </row>
    <row r="102" spans="1:8" s="38" customFormat="1" x14ac:dyDescent="0.3">
      <c r="A102" s="97">
        <v>42917</v>
      </c>
      <c r="B102" s="45" t="s">
        <v>3871</v>
      </c>
      <c r="C102" s="38" t="s">
        <v>3872</v>
      </c>
      <c r="D102" s="42" t="s">
        <v>3879</v>
      </c>
      <c r="E102" s="42" t="s">
        <v>3873</v>
      </c>
      <c r="F102" s="42" t="s">
        <v>3874</v>
      </c>
      <c r="G102" s="7"/>
      <c r="H102" s="7"/>
    </row>
    <row r="103" spans="1:8" s="38" customFormat="1" x14ac:dyDescent="0.3">
      <c r="A103" s="97">
        <v>42917</v>
      </c>
      <c r="B103" s="45" t="s">
        <v>3908</v>
      </c>
      <c r="C103" s="38" t="s">
        <v>3909</v>
      </c>
      <c r="D103" s="42" t="s">
        <v>3910</v>
      </c>
      <c r="E103" s="42" t="s">
        <v>3911</v>
      </c>
      <c r="F103" s="42" t="s">
        <v>456</v>
      </c>
      <c r="G103" s="7"/>
      <c r="H103" s="7"/>
    </row>
    <row r="104" spans="1:8" s="38" customFormat="1" x14ac:dyDescent="0.3">
      <c r="A104" s="97">
        <v>42917</v>
      </c>
      <c r="B104" s="45" t="s">
        <v>3912</v>
      </c>
      <c r="C104" s="38" t="s">
        <v>3913</v>
      </c>
      <c r="D104" s="42" t="s">
        <v>3910</v>
      </c>
      <c r="E104" s="42" t="s">
        <v>3911</v>
      </c>
      <c r="F104" s="42" t="s">
        <v>456</v>
      </c>
      <c r="G104" s="7"/>
      <c r="H104" s="7"/>
    </row>
    <row r="105" spans="1:8" s="38" customFormat="1" x14ac:dyDescent="0.3">
      <c r="A105" s="97">
        <v>42917</v>
      </c>
      <c r="B105" s="45" t="s">
        <v>3914</v>
      </c>
      <c r="C105" s="38" t="s">
        <v>3915</v>
      </c>
      <c r="D105" s="42" t="s">
        <v>3916</v>
      </c>
      <c r="E105" s="42" t="s">
        <v>3911</v>
      </c>
      <c r="F105" s="42" t="s">
        <v>456</v>
      </c>
      <c r="G105" s="7"/>
      <c r="H105" s="7"/>
    </row>
    <row r="106" spans="1:8" s="38" customFormat="1" x14ac:dyDescent="0.3">
      <c r="A106" s="120">
        <v>42983</v>
      </c>
      <c r="B106" s="121" t="s">
        <v>3919</v>
      </c>
      <c r="C106" s="121" t="s">
        <v>3920</v>
      </c>
      <c r="D106" s="122" t="s">
        <v>3921</v>
      </c>
      <c r="E106" s="122" t="s">
        <v>1007</v>
      </c>
      <c r="F106" s="122" t="s">
        <v>3614</v>
      </c>
      <c r="G106" s="7"/>
      <c r="H106" s="7"/>
    </row>
    <row r="107" spans="1:8" s="38" customFormat="1" x14ac:dyDescent="0.3">
      <c r="A107" s="120">
        <v>42983</v>
      </c>
      <c r="B107" s="121" t="s">
        <v>3922</v>
      </c>
      <c r="C107" s="121" t="s">
        <v>3923</v>
      </c>
      <c r="D107" s="122" t="s">
        <v>3924</v>
      </c>
      <c r="E107" s="122" t="s">
        <v>3925</v>
      </c>
      <c r="F107" s="122" t="s">
        <v>3614</v>
      </c>
      <c r="G107" s="7"/>
      <c r="H107" s="7"/>
    </row>
    <row r="108" spans="1:8" s="38" customFormat="1" x14ac:dyDescent="0.3">
      <c r="A108" s="120">
        <v>42983</v>
      </c>
      <c r="B108" s="121" t="s">
        <v>3926</v>
      </c>
      <c r="C108" s="121" t="s">
        <v>3927</v>
      </c>
      <c r="D108" s="122" t="s">
        <v>3928</v>
      </c>
      <c r="E108" s="122" t="s">
        <v>3925</v>
      </c>
      <c r="F108" s="122" t="s">
        <v>3614</v>
      </c>
      <c r="G108" s="7"/>
      <c r="H108" s="7"/>
    </row>
    <row r="109" spans="1:8" s="38" customFormat="1" x14ac:dyDescent="0.3">
      <c r="A109" s="120">
        <v>42983</v>
      </c>
      <c r="B109" s="121" t="s">
        <v>3929</v>
      </c>
      <c r="C109" s="121" t="s">
        <v>3930</v>
      </c>
      <c r="D109" s="122" t="s">
        <v>3931</v>
      </c>
      <c r="E109" s="122" t="s">
        <v>3663</v>
      </c>
      <c r="F109" s="122" t="s">
        <v>3614</v>
      </c>
      <c r="G109" s="7"/>
      <c r="H109" s="7"/>
    </row>
    <row r="110" spans="1:8" s="38" customFormat="1" x14ac:dyDescent="0.3">
      <c r="A110" s="120">
        <v>42983</v>
      </c>
      <c r="B110" s="121" t="s">
        <v>3932</v>
      </c>
      <c r="C110" s="121" t="s">
        <v>3933</v>
      </c>
      <c r="D110" s="122" t="s">
        <v>3934</v>
      </c>
      <c r="E110" s="122" t="s">
        <v>3925</v>
      </c>
      <c r="F110" s="122" t="s">
        <v>3614</v>
      </c>
      <c r="G110" s="7"/>
      <c r="H110" s="7"/>
    </row>
    <row r="111" spans="1:8" s="38" customFormat="1" x14ac:dyDescent="0.3">
      <c r="A111" s="120">
        <v>42983</v>
      </c>
      <c r="B111" s="121" t="s">
        <v>3935</v>
      </c>
      <c r="C111" s="121" t="s">
        <v>3936</v>
      </c>
      <c r="D111" s="122" t="s">
        <v>3937</v>
      </c>
      <c r="E111" s="122" t="s">
        <v>3663</v>
      </c>
      <c r="F111" s="122" t="s">
        <v>3614</v>
      </c>
      <c r="G111" s="7"/>
      <c r="H111" s="7"/>
    </row>
    <row r="112" spans="1:8" s="38" customFormat="1" x14ac:dyDescent="0.3">
      <c r="A112" s="120">
        <v>42983</v>
      </c>
      <c r="B112" s="121" t="s">
        <v>3938</v>
      </c>
      <c r="C112" s="121" t="s">
        <v>3939</v>
      </c>
      <c r="D112" s="122" t="s">
        <v>3940</v>
      </c>
      <c r="E112" s="122" t="s">
        <v>3925</v>
      </c>
      <c r="F112" s="122" t="s">
        <v>3614</v>
      </c>
      <c r="G112" s="7"/>
      <c r="H112" s="7"/>
    </row>
    <row r="113" spans="1:8" s="38" customFormat="1" x14ac:dyDescent="0.3">
      <c r="A113" s="120">
        <v>42983</v>
      </c>
      <c r="B113" s="121" t="s">
        <v>3941</v>
      </c>
      <c r="C113" s="121" t="s">
        <v>3942</v>
      </c>
      <c r="D113" s="122" t="s">
        <v>3943</v>
      </c>
      <c r="E113" s="122" t="s">
        <v>3663</v>
      </c>
      <c r="F113" s="122" t="s">
        <v>3614</v>
      </c>
      <c r="G113" s="7"/>
      <c r="H113" s="7"/>
    </row>
    <row r="114" spans="1:8" s="38" customFormat="1" x14ac:dyDescent="0.3">
      <c r="A114" s="120">
        <v>42983</v>
      </c>
      <c r="B114" s="121" t="s">
        <v>3944</v>
      </c>
      <c r="C114" s="121" t="s">
        <v>3945</v>
      </c>
      <c r="D114" s="122" t="s">
        <v>3946</v>
      </c>
      <c r="E114" s="122" t="s">
        <v>3925</v>
      </c>
      <c r="F114" s="122" t="s">
        <v>3614</v>
      </c>
      <c r="G114" s="7"/>
      <c r="H114" s="7"/>
    </row>
    <row r="115" spans="1:8" s="38" customFormat="1" x14ac:dyDescent="0.3">
      <c r="A115" s="120">
        <v>42983</v>
      </c>
      <c r="B115" s="121" t="s">
        <v>3947</v>
      </c>
      <c r="C115" s="121" t="s">
        <v>3948</v>
      </c>
      <c r="D115" s="122" t="s">
        <v>3949</v>
      </c>
      <c r="E115" s="122" t="s">
        <v>3925</v>
      </c>
      <c r="F115" s="122" t="s">
        <v>3614</v>
      </c>
      <c r="G115" s="7"/>
      <c r="H115" s="7"/>
    </row>
    <row r="116" spans="1:8" s="38" customFormat="1" x14ac:dyDescent="0.3">
      <c r="A116" s="120">
        <v>42983</v>
      </c>
      <c r="B116" s="121" t="s">
        <v>3950</v>
      </c>
      <c r="C116" s="121" t="s">
        <v>3951</v>
      </c>
      <c r="D116" s="122" t="s">
        <v>3952</v>
      </c>
      <c r="E116" s="122" t="s">
        <v>3663</v>
      </c>
      <c r="F116" s="122" t="s">
        <v>3614</v>
      </c>
      <c r="G116" s="7"/>
      <c r="H116" s="7"/>
    </row>
    <row r="117" spans="1:8" s="38" customFormat="1" x14ac:dyDescent="0.3">
      <c r="A117" s="120">
        <v>42983</v>
      </c>
      <c r="B117" s="123" t="s">
        <v>3953</v>
      </c>
      <c r="C117" s="123" t="s">
        <v>3954</v>
      </c>
      <c r="D117" s="122" t="s">
        <v>3955</v>
      </c>
      <c r="E117" s="122" t="s">
        <v>3925</v>
      </c>
      <c r="F117" s="122" t="s">
        <v>3614</v>
      </c>
      <c r="G117" s="7"/>
      <c r="H117" s="7"/>
    </row>
    <row r="118" spans="1:8" s="38" customFormat="1" x14ac:dyDescent="0.3">
      <c r="A118" s="120">
        <v>42983</v>
      </c>
      <c r="B118" s="123" t="s">
        <v>3956</v>
      </c>
      <c r="C118" s="123" t="s">
        <v>3957</v>
      </c>
      <c r="D118" s="122" t="s">
        <v>3958</v>
      </c>
      <c r="E118" s="122" t="s">
        <v>3663</v>
      </c>
      <c r="F118" s="122" t="s">
        <v>3614</v>
      </c>
      <c r="G118" s="7"/>
      <c r="H118" s="7"/>
    </row>
    <row r="119" spans="1:8" s="38" customFormat="1" x14ac:dyDescent="0.3">
      <c r="A119" s="120">
        <v>42983</v>
      </c>
      <c r="B119" s="123" t="s">
        <v>3959</v>
      </c>
      <c r="C119" s="123" t="s">
        <v>3960</v>
      </c>
      <c r="D119" s="122" t="s">
        <v>3961</v>
      </c>
      <c r="E119" s="122" t="s">
        <v>3925</v>
      </c>
      <c r="F119" s="122" t="s">
        <v>3614</v>
      </c>
      <c r="G119" s="7"/>
      <c r="H119" s="7"/>
    </row>
    <row r="120" spans="1:8" s="38" customFormat="1" x14ac:dyDescent="0.3">
      <c r="A120" s="120">
        <v>42983</v>
      </c>
      <c r="B120" s="123" t="s">
        <v>3962</v>
      </c>
      <c r="C120" s="123" t="s">
        <v>3963</v>
      </c>
      <c r="D120" s="122" t="s">
        <v>3964</v>
      </c>
      <c r="E120" s="122" t="s">
        <v>3925</v>
      </c>
      <c r="F120" s="122" t="s">
        <v>3614</v>
      </c>
      <c r="G120" s="7"/>
      <c r="H120" s="7"/>
    </row>
    <row r="121" spans="1:8" s="38" customFormat="1" x14ac:dyDescent="0.3">
      <c r="A121" s="120">
        <v>42983</v>
      </c>
      <c r="B121" s="123" t="s">
        <v>3965</v>
      </c>
      <c r="C121" s="123" t="s">
        <v>3966</v>
      </c>
      <c r="D121" s="122" t="s">
        <v>3967</v>
      </c>
      <c r="E121" s="122" t="s">
        <v>3663</v>
      </c>
      <c r="F121" s="122" t="s">
        <v>3614</v>
      </c>
      <c r="G121" s="7"/>
      <c r="H121" s="7"/>
    </row>
    <row r="122" spans="1:8" s="38" customFormat="1" x14ac:dyDescent="0.3">
      <c r="A122" s="120">
        <v>42983</v>
      </c>
      <c r="B122" s="123" t="s">
        <v>3968</v>
      </c>
      <c r="C122" s="123" t="s">
        <v>3969</v>
      </c>
      <c r="D122" s="122" t="s">
        <v>3970</v>
      </c>
      <c r="E122" s="122" t="s">
        <v>3925</v>
      </c>
      <c r="F122" s="122" t="s">
        <v>3614</v>
      </c>
      <c r="G122" s="7"/>
      <c r="H122" s="7"/>
    </row>
    <row r="123" spans="1:8" s="38" customFormat="1" x14ac:dyDescent="0.3">
      <c r="A123" s="120">
        <v>42983</v>
      </c>
      <c r="B123" s="123" t="s">
        <v>3971</v>
      </c>
      <c r="C123" s="123" t="s">
        <v>3972</v>
      </c>
      <c r="D123" s="122" t="s">
        <v>3973</v>
      </c>
      <c r="E123" s="122" t="s">
        <v>3663</v>
      </c>
      <c r="F123" s="122" t="s">
        <v>3614</v>
      </c>
      <c r="G123" s="7"/>
      <c r="H123" s="7"/>
    </row>
    <row r="124" spans="1:8" s="38" customFormat="1" x14ac:dyDescent="0.3">
      <c r="A124" s="120">
        <v>42983</v>
      </c>
      <c r="B124" s="123" t="s">
        <v>3974</v>
      </c>
      <c r="C124" s="123" t="s">
        <v>3975</v>
      </c>
      <c r="D124" s="122" t="s">
        <v>3976</v>
      </c>
      <c r="E124" s="122" t="s">
        <v>3925</v>
      </c>
      <c r="F124" s="122" t="s">
        <v>3614</v>
      </c>
      <c r="G124" s="7"/>
      <c r="H124" s="7"/>
    </row>
    <row r="125" spans="1:8" s="38" customFormat="1" x14ac:dyDescent="0.3">
      <c r="A125" s="120">
        <v>42983</v>
      </c>
      <c r="B125" s="123" t="s">
        <v>3977</v>
      </c>
      <c r="C125" s="123" t="s">
        <v>3994</v>
      </c>
      <c r="D125" s="122" t="s">
        <v>3978</v>
      </c>
      <c r="E125" s="122" t="s">
        <v>3979</v>
      </c>
      <c r="F125" s="122" t="s">
        <v>427</v>
      </c>
      <c r="G125" s="7"/>
      <c r="H125" s="7"/>
    </row>
    <row r="126" spans="1:8" s="38" customFormat="1" x14ac:dyDescent="0.3">
      <c r="A126" s="120">
        <v>42983</v>
      </c>
      <c r="B126" s="123" t="s">
        <v>3980</v>
      </c>
      <c r="C126" s="123" t="s">
        <v>3995</v>
      </c>
      <c r="D126" s="122" t="s">
        <v>3978</v>
      </c>
      <c r="E126" s="122" t="s">
        <v>3979</v>
      </c>
      <c r="F126" s="122" t="s">
        <v>427</v>
      </c>
      <c r="G126" s="7"/>
      <c r="H126" s="7"/>
    </row>
    <row r="127" spans="1:8" s="38" customFormat="1" x14ac:dyDescent="0.3">
      <c r="A127" s="120">
        <v>42983</v>
      </c>
      <c r="B127" s="123" t="s">
        <v>3981</v>
      </c>
      <c r="C127" s="123" t="s">
        <v>3996</v>
      </c>
      <c r="D127" s="122" t="s">
        <v>3978</v>
      </c>
      <c r="E127" s="122" t="s">
        <v>3979</v>
      </c>
      <c r="F127" s="122" t="s">
        <v>427</v>
      </c>
      <c r="G127" s="7"/>
      <c r="H127" s="7"/>
    </row>
    <row r="128" spans="1:8" s="38" customFormat="1" x14ac:dyDescent="0.3">
      <c r="A128" s="120">
        <v>42983</v>
      </c>
      <c r="B128" s="123" t="s">
        <v>3982</v>
      </c>
      <c r="C128" s="123" t="s">
        <v>3997</v>
      </c>
      <c r="D128" s="122" t="s">
        <v>3983</v>
      </c>
      <c r="E128" s="122" t="s">
        <v>3979</v>
      </c>
      <c r="F128" s="122" t="s">
        <v>427</v>
      </c>
      <c r="G128" s="7"/>
      <c r="H128" s="7"/>
    </row>
    <row r="129" spans="1:8" s="38" customFormat="1" x14ac:dyDescent="0.3">
      <c r="A129" s="120">
        <v>42983</v>
      </c>
      <c r="B129" s="123" t="s">
        <v>3984</v>
      </c>
      <c r="C129" s="123" t="s">
        <v>3998</v>
      </c>
      <c r="D129" s="122" t="s">
        <v>3983</v>
      </c>
      <c r="E129" s="122" t="s">
        <v>3979</v>
      </c>
      <c r="F129" s="122" t="s">
        <v>427</v>
      </c>
      <c r="G129" s="7"/>
      <c r="H129" s="7"/>
    </row>
    <row r="130" spans="1:8" s="38" customFormat="1" x14ac:dyDescent="0.3">
      <c r="A130" s="120">
        <v>42983</v>
      </c>
      <c r="B130" s="123" t="s">
        <v>3985</v>
      </c>
      <c r="C130" s="123" t="s">
        <v>3999</v>
      </c>
      <c r="D130" s="122" t="s">
        <v>3983</v>
      </c>
      <c r="E130" s="122" t="s">
        <v>3979</v>
      </c>
      <c r="F130" s="122" t="s">
        <v>427</v>
      </c>
      <c r="G130" s="7"/>
      <c r="H130" s="7"/>
    </row>
    <row r="131" spans="1:8" x14ac:dyDescent="0.3">
      <c r="A131" s="120">
        <v>42983</v>
      </c>
      <c r="B131" s="123" t="s">
        <v>3986</v>
      </c>
      <c r="C131" s="123" t="s">
        <v>4000</v>
      </c>
      <c r="D131" s="122" t="s">
        <v>3987</v>
      </c>
      <c r="E131" s="122" t="s">
        <v>3979</v>
      </c>
      <c r="F131" s="122" t="s">
        <v>427</v>
      </c>
    </row>
    <row r="132" spans="1:8" x14ac:dyDescent="0.3">
      <c r="A132" s="120">
        <v>42983</v>
      </c>
      <c r="B132" s="123" t="s">
        <v>3988</v>
      </c>
      <c r="C132" s="123" t="s">
        <v>4001</v>
      </c>
      <c r="D132" s="122" t="s">
        <v>3987</v>
      </c>
      <c r="E132" s="122" t="s">
        <v>3979</v>
      </c>
      <c r="F132" s="122" t="s">
        <v>427</v>
      </c>
    </row>
    <row r="133" spans="1:8" x14ac:dyDescent="0.3">
      <c r="A133" s="120">
        <v>42983</v>
      </c>
      <c r="B133" s="123" t="s">
        <v>3989</v>
      </c>
      <c r="C133" s="123" t="s">
        <v>4002</v>
      </c>
      <c r="D133" s="122" t="s">
        <v>3987</v>
      </c>
      <c r="E133" s="122" t="s">
        <v>3979</v>
      </c>
      <c r="F133" s="122" t="s">
        <v>427</v>
      </c>
    </row>
    <row r="134" spans="1:8" x14ac:dyDescent="0.3">
      <c r="A134" s="120">
        <v>42983</v>
      </c>
      <c r="B134" s="123" t="s">
        <v>3990</v>
      </c>
      <c r="C134" s="123" t="s">
        <v>4003</v>
      </c>
      <c r="D134" s="122" t="s">
        <v>3991</v>
      </c>
      <c r="E134" s="122" t="s">
        <v>3979</v>
      </c>
      <c r="F134" s="122" t="s">
        <v>427</v>
      </c>
    </row>
    <row r="135" spans="1:8" s="38" customFormat="1" x14ac:dyDescent="0.3">
      <c r="A135" s="120">
        <v>42983</v>
      </c>
      <c r="B135" s="123" t="s">
        <v>3992</v>
      </c>
      <c r="C135" s="123" t="s">
        <v>4004</v>
      </c>
      <c r="D135" s="122" t="s">
        <v>3991</v>
      </c>
      <c r="E135" s="122" t="s">
        <v>3979</v>
      </c>
      <c r="F135" s="122" t="s">
        <v>427</v>
      </c>
    </row>
    <row r="136" spans="1:8" s="38" customFormat="1" x14ac:dyDescent="0.3">
      <c r="A136" s="120">
        <v>42983</v>
      </c>
      <c r="B136" s="123" t="s">
        <v>3993</v>
      </c>
      <c r="C136" s="123" t="s">
        <v>4005</v>
      </c>
      <c r="D136" s="122" t="s">
        <v>3991</v>
      </c>
      <c r="E136" s="122" t="s">
        <v>3979</v>
      </c>
      <c r="F136" s="122" t="s">
        <v>427</v>
      </c>
    </row>
    <row r="137" spans="1:8" s="38" customFormat="1" x14ac:dyDescent="0.3">
      <c r="A137" s="120">
        <v>43027</v>
      </c>
      <c r="B137" s="123" t="s">
        <v>4007</v>
      </c>
      <c r="C137" s="123" t="s">
        <v>4008</v>
      </c>
      <c r="D137" s="122" t="s">
        <v>4009</v>
      </c>
      <c r="E137" s="122" t="s">
        <v>4010</v>
      </c>
      <c r="F137" s="122" t="s">
        <v>57</v>
      </c>
    </row>
    <row r="138" spans="1:8" s="38" customFormat="1" x14ac:dyDescent="0.3">
      <c r="A138" s="120">
        <v>43027</v>
      </c>
      <c r="B138" s="123" t="s">
        <v>4011</v>
      </c>
      <c r="C138" s="123" t="s">
        <v>4012</v>
      </c>
      <c r="D138" s="122" t="s">
        <v>4013</v>
      </c>
      <c r="E138" s="122" t="s">
        <v>4010</v>
      </c>
      <c r="F138" s="122" t="s">
        <v>57</v>
      </c>
    </row>
    <row r="139" spans="1:8" s="38" customFormat="1" x14ac:dyDescent="0.3">
      <c r="A139" s="120">
        <v>43084</v>
      </c>
      <c r="B139" s="123" t="s">
        <v>4029</v>
      </c>
      <c r="C139" s="123" t="s">
        <v>4030</v>
      </c>
      <c r="D139" s="122"/>
      <c r="E139" s="122"/>
      <c r="F139" s="122"/>
    </row>
    <row r="140" spans="1:8" s="38" customFormat="1" x14ac:dyDescent="0.3">
      <c r="A140" s="120">
        <v>43084</v>
      </c>
      <c r="B140" s="123" t="s">
        <v>4031</v>
      </c>
      <c r="C140" s="123" t="s">
        <v>4032</v>
      </c>
      <c r="D140" s="122"/>
      <c r="E140" s="122"/>
      <c r="F140" s="122"/>
    </row>
    <row r="141" spans="1:8" s="38" customFormat="1" x14ac:dyDescent="0.3">
      <c r="A141" s="120">
        <v>43084</v>
      </c>
      <c r="B141" s="123" t="s">
        <v>4033</v>
      </c>
      <c r="C141" s="123" t="s">
        <v>4034</v>
      </c>
      <c r="D141" s="122"/>
      <c r="E141" s="122"/>
      <c r="F141" s="122"/>
    </row>
    <row r="142" spans="1:8" s="38" customFormat="1" x14ac:dyDescent="0.3">
      <c r="A142" s="120">
        <v>43084</v>
      </c>
      <c r="B142" s="123" t="s">
        <v>4035</v>
      </c>
      <c r="C142" s="123" t="s">
        <v>4036</v>
      </c>
      <c r="D142" s="122"/>
      <c r="E142" s="122"/>
      <c r="F142" s="122"/>
    </row>
    <row r="143" spans="1:8" s="38" customFormat="1" x14ac:dyDescent="0.3">
      <c r="A143" s="120">
        <v>43084</v>
      </c>
      <c r="B143" s="123" t="s">
        <v>4037</v>
      </c>
      <c r="C143" s="123" t="s">
        <v>4038</v>
      </c>
      <c r="D143" s="122"/>
      <c r="E143" s="122"/>
      <c r="F143" s="122"/>
    </row>
    <row r="144" spans="1:8" s="38" customFormat="1" x14ac:dyDescent="0.3">
      <c r="A144" s="120">
        <v>43084</v>
      </c>
      <c r="B144" s="123" t="s">
        <v>4039</v>
      </c>
      <c r="C144" s="123" t="s">
        <v>4040</v>
      </c>
      <c r="D144" s="122"/>
      <c r="E144" s="122"/>
      <c r="F144" s="122"/>
    </row>
    <row r="145" spans="1:6" s="38" customFormat="1" x14ac:dyDescent="0.3">
      <c r="A145" s="120">
        <v>43084</v>
      </c>
      <c r="B145" s="123" t="s">
        <v>4018</v>
      </c>
      <c r="C145" s="123" t="s">
        <v>4019</v>
      </c>
      <c r="D145" s="122" t="s">
        <v>4020</v>
      </c>
      <c r="E145" s="122" t="s">
        <v>4021</v>
      </c>
      <c r="F145" s="122" t="s">
        <v>3672</v>
      </c>
    </row>
    <row r="146" spans="1:6" s="38" customFormat="1" x14ac:dyDescent="0.3">
      <c r="A146" s="120">
        <v>43084</v>
      </c>
      <c r="B146" s="123" t="s">
        <v>4028</v>
      </c>
      <c r="C146" s="123" t="s">
        <v>4022</v>
      </c>
      <c r="D146" s="122" t="s">
        <v>4023</v>
      </c>
      <c r="E146" s="122" t="s">
        <v>4021</v>
      </c>
      <c r="F146" s="122" t="s">
        <v>3672</v>
      </c>
    </row>
    <row r="147" spans="1:6" s="38" customFormat="1" x14ac:dyDescent="0.3">
      <c r="A147" s="120">
        <v>43084</v>
      </c>
      <c r="B147" s="123" t="s">
        <v>4024</v>
      </c>
      <c r="C147" s="123" t="s">
        <v>4025</v>
      </c>
      <c r="D147" s="122" t="s">
        <v>4026</v>
      </c>
      <c r="E147" s="122" t="s">
        <v>4027</v>
      </c>
      <c r="F147" s="122" t="s">
        <v>3666</v>
      </c>
    </row>
    <row r="148" spans="1:6" s="38" customFormat="1" x14ac:dyDescent="0.3">
      <c r="A148" s="120">
        <v>43084</v>
      </c>
      <c r="B148" s="123" t="s">
        <v>4071</v>
      </c>
      <c r="C148" s="123" t="s">
        <v>4072</v>
      </c>
      <c r="D148" s="122"/>
      <c r="E148" s="122"/>
      <c r="F148" s="122"/>
    </row>
    <row r="149" spans="1:6" s="38" customFormat="1" x14ac:dyDescent="0.3">
      <c r="A149" s="120">
        <v>43085</v>
      </c>
      <c r="B149" s="123" t="s">
        <v>4074</v>
      </c>
      <c r="C149" s="123" t="s">
        <v>4075</v>
      </c>
      <c r="D149" s="122"/>
      <c r="E149" s="122"/>
      <c r="F149" s="122"/>
    </row>
    <row r="150" spans="1:6" s="38" customFormat="1" x14ac:dyDescent="0.3">
      <c r="A150" s="120">
        <v>43086</v>
      </c>
      <c r="B150" s="123" t="s">
        <v>4076</v>
      </c>
      <c r="C150" s="123" t="s">
        <v>4077</v>
      </c>
      <c r="D150" s="122"/>
      <c r="E150" s="122"/>
      <c r="F150" s="122"/>
    </row>
    <row r="151" spans="1:6" s="38" customFormat="1" x14ac:dyDescent="0.3">
      <c r="A151" s="120">
        <v>43087</v>
      </c>
      <c r="B151" s="123" t="s">
        <v>4078</v>
      </c>
      <c r="C151" s="123" t="s">
        <v>4079</v>
      </c>
      <c r="D151" s="122"/>
      <c r="E151" s="122"/>
      <c r="F151" s="122"/>
    </row>
    <row r="152" spans="1:6" s="38" customFormat="1" x14ac:dyDescent="0.3">
      <c r="A152" s="120">
        <v>43088</v>
      </c>
      <c r="B152" s="123" t="s">
        <v>4080</v>
      </c>
      <c r="C152" s="123" t="s">
        <v>4081</v>
      </c>
      <c r="D152" s="122"/>
      <c r="E152" s="122"/>
      <c r="F152" s="122"/>
    </row>
    <row r="153" spans="1:6" s="38" customFormat="1" x14ac:dyDescent="0.3">
      <c r="A153" s="120">
        <v>43089</v>
      </c>
      <c r="B153" s="123" t="s">
        <v>4082</v>
      </c>
      <c r="C153" s="123" t="s">
        <v>4083</v>
      </c>
      <c r="D153" s="122"/>
      <c r="E153" s="122"/>
      <c r="F153" s="122"/>
    </row>
    <row r="154" spans="1:6" s="38" customFormat="1" x14ac:dyDescent="0.3">
      <c r="A154" s="120">
        <v>43090</v>
      </c>
      <c r="B154" s="123" t="s">
        <v>4084</v>
      </c>
      <c r="C154" s="123" t="s">
        <v>4085</v>
      </c>
      <c r="D154" s="122"/>
      <c r="E154" s="122"/>
      <c r="F154" s="122"/>
    </row>
    <row r="155" spans="1:6" s="38" customFormat="1" x14ac:dyDescent="0.3">
      <c r="A155" s="120">
        <v>43091</v>
      </c>
      <c r="B155" s="123" t="s">
        <v>4086</v>
      </c>
      <c r="C155" s="123" t="s">
        <v>4087</v>
      </c>
      <c r="D155" s="122"/>
      <c r="E155" s="122"/>
      <c r="F155" s="122"/>
    </row>
    <row r="156" spans="1:6" s="38" customFormat="1" x14ac:dyDescent="0.3">
      <c r="A156" s="120">
        <v>43092</v>
      </c>
      <c r="B156" s="123" t="s">
        <v>4088</v>
      </c>
      <c r="C156" s="123" t="s">
        <v>4089</v>
      </c>
      <c r="D156" s="122"/>
      <c r="E156" s="122"/>
      <c r="F156" s="122"/>
    </row>
    <row r="157" spans="1:6" s="38" customFormat="1" x14ac:dyDescent="0.3">
      <c r="A157" s="120">
        <v>43093</v>
      </c>
      <c r="B157" s="123" t="s">
        <v>4090</v>
      </c>
      <c r="C157" s="123" t="s">
        <v>4091</v>
      </c>
      <c r="D157" s="122"/>
      <c r="E157" s="122"/>
      <c r="F157" s="122"/>
    </row>
    <row r="158" spans="1:6" s="38" customFormat="1" x14ac:dyDescent="0.3">
      <c r="A158" s="120">
        <v>43094</v>
      </c>
      <c r="B158" s="123" t="s">
        <v>4092</v>
      </c>
      <c r="C158" s="123" t="s">
        <v>4093</v>
      </c>
      <c r="D158" s="122"/>
      <c r="E158" s="122"/>
      <c r="F158" s="122"/>
    </row>
    <row r="159" spans="1:6" s="38" customFormat="1" x14ac:dyDescent="0.3">
      <c r="A159" s="120">
        <v>43095</v>
      </c>
      <c r="B159" s="123" t="s">
        <v>4094</v>
      </c>
      <c r="C159" s="123" t="s">
        <v>4095</v>
      </c>
      <c r="D159" s="122"/>
      <c r="E159" s="122"/>
      <c r="F159" s="122"/>
    </row>
    <row r="160" spans="1:6" s="38" customFormat="1" x14ac:dyDescent="0.3">
      <c r="A160" s="120">
        <v>43096</v>
      </c>
      <c r="B160" s="123" t="s">
        <v>4096</v>
      </c>
      <c r="C160" s="123" t="s">
        <v>4097</v>
      </c>
      <c r="D160" s="122"/>
      <c r="E160" s="122"/>
      <c r="F160" s="122"/>
    </row>
    <row r="161" spans="1:6" s="38" customFormat="1" x14ac:dyDescent="0.3">
      <c r="A161" s="120">
        <v>43097</v>
      </c>
      <c r="B161" s="123" t="s">
        <v>4098</v>
      </c>
      <c r="C161" s="123" t="s">
        <v>4099</v>
      </c>
      <c r="D161" s="122"/>
      <c r="E161" s="122"/>
      <c r="F161" s="122"/>
    </row>
    <row r="162" spans="1:6" s="38" customFormat="1" x14ac:dyDescent="0.3">
      <c r="A162" s="120">
        <v>43098</v>
      </c>
      <c r="B162" s="123" t="s">
        <v>4100</v>
      </c>
      <c r="C162" s="123" t="s">
        <v>4101</v>
      </c>
      <c r="D162" s="122"/>
      <c r="E162" s="122"/>
      <c r="F162" s="122"/>
    </row>
    <row r="163" spans="1:6" s="38" customFormat="1" x14ac:dyDescent="0.3">
      <c r="A163" s="120">
        <v>43099</v>
      </c>
      <c r="B163" s="123" t="s">
        <v>4102</v>
      </c>
      <c r="C163" s="123" t="s">
        <v>4103</v>
      </c>
      <c r="D163" s="122"/>
      <c r="E163" s="122"/>
      <c r="F163" s="122"/>
    </row>
    <row r="164" spans="1:6" s="38" customFormat="1" x14ac:dyDescent="0.3">
      <c r="A164" s="120">
        <v>43100</v>
      </c>
      <c r="B164" s="123" t="s">
        <v>4104</v>
      </c>
      <c r="C164" s="123" t="s">
        <v>4105</v>
      </c>
      <c r="D164" s="122"/>
      <c r="E164" s="122"/>
      <c r="F164" s="122"/>
    </row>
    <row r="165" spans="1:6" s="38" customFormat="1" x14ac:dyDescent="0.3">
      <c r="A165" s="120">
        <v>43101</v>
      </c>
      <c r="B165" s="123" t="s">
        <v>4106</v>
      </c>
      <c r="C165" s="123" t="s">
        <v>4107</v>
      </c>
      <c r="D165" s="122"/>
      <c r="E165" s="122"/>
      <c r="F165" s="122"/>
    </row>
    <row r="166" spans="1:6" s="38" customFormat="1" x14ac:dyDescent="0.3">
      <c r="A166" s="97"/>
      <c r="B166" s="45"/>
      <c r="C166" s="28"/>
      <c r="D166" s="17"/>
      <c r="E166" s="1"/>
      <c r="F166" s="1"/>
    </row>
    <row r="167" spans="1:6" s="38" customFormat="1" x14ac:dyDescent="0.3">
      <c r="A167" s="99" t="s">
        <v>3836</v>
      </c>
      <c r="B167" s="6" t="str">
        <f>"Deletions ("&amp;COUNTA(B168:B207)&amp;")"</f>
        <v>Deletions (39)</v>
      </c>
      <c r="C167" s="5" t="s">
        <v>28</v>
      </c>
      <c r="D167" s="17"/>
      <c r="E167" s="68"/>
      <c r="F167" s="1"/>
    </row>
    <row r="168" spans="1:6" s="38" customFormat="1" x14ac:dyDescent="0.3">
      <c r="A168" s="97">
        <v>42842</v>
      </c>
      <c r="B168" s="38" t="s">
        <v>2296</v>
      </c>
      <c r="C168" s="38" t="s">
        <v>2582</v>
      </c>
      <c r="D168" s="42"/>
      <c r="E168" s="42"/>
      <c r="F168" s="7"/>
    </row>
    <row r="169" spans="1:6" s="38" customFormat="1" x14ac:dyDescent="0.3">
      <c r="A169" s="97">
        <v>42842</v>
      </c>
      <c r="B169" s="38" t="s">
        <v>2295</v>
      </c>
      <c r="C169" s="38" t="s">
        <v>2583</v>
      </c>
      <c r="D169" s="42"/>
      <c r="E169" s="42"/>
      <c r="F169" s="7"/>
    </row>
    <row r="170" spans="1:6" s="38" customFormat="1" x14ac:dyDescent="0.3">
      <c r="A170" s="97">
        <v>42842</v>
      </c>
      <c r="B170" s="38" t="s">
        <v>2294</v>
      </c>
      <c r="C170" s="38" t="s">
        <v>2528</v>
      </c>
      <c r="D170" s="42"/>
      <c r="E170" s="42"/>
      <c r="F170" s="7"/>
    </row>
    <row r="171" spans="1:6" s="38" customFormat="1" x14ac:dyDescent="0.3">
      <c r="A171" s="97">
        <v>42842</v>
      </c>
      <c r="B171" s="38" t="s">
        <v>3523</v>
      </c>
      <c r="C171" s="38" t="s">
        <v>3524</v>
      </c>
      <c r="D171" s="42"/>
      <c r="E171" s="42"/>
      <c r="F171" s="7"/>
    </row>
    <row r="172" spans="1:6" s="38" customFormat="1" x14ac:dyDescent="0.3">
      <c r="A172" s="97">
        <v>42842</v>
      </c>
      <c r="B172" s="38" t="s">
        <v>415</v>
      </c>
      <c r="C172" s="38" t="s">
        <v>416</v>
      </c>
      <c r="D172" s="42"/>
      <c r="E172" s="42"/>
      <c r="F172" s="7"/>
    </row>
    <row r="173" spans="1:6" s="38" customFormat="1" x14ac:dyDescent="0.3">
      <c r="A173" s="97">
        <v>42842</v>
      </c>
      <c r="B173" s="38" t="s">
        <v>3372</v>
      </c>
      <c r="C173" s="38" t="s">
        <v>3373</v>
      </c>
      <c r="D173" s="42"/>
      <c r="E173" s="42"/>
      <c r="F173" s="7"/>
    </row>
    <row r="174" spans="1:6" s="38" customFormat="1" x14ac:dyDescent="0.3">
      <c r="A174" s="97">
        <v>42842</v>
      </c>
      <c r="B174" s="38" t="s">
        <v>3835</v>
      </c>
      <c r="C174" s="38" t="s">
        <v>3375</v>
      </c>
      <c r="D174" s="42"/>
      <c r="E174" s="42"/>
      <c r="F174" s="7"/>
    </row>
    <row r="175" spans="1:6" s="38" customFormat="1" x14ac:dyDescent="0.3">
      <c r="A175" s="97">
        <v>42842</v>
      </c>
      <c r="B175" s="38" t="s">
        <v>442</v>
      </c>
      <c r="C175" s="38" t="s">
        <v>1892</v>
      </c>
      <c r="D175" s="42"/>
      <c r="E175" s="42"/>
      <c r="F175" s="7"/>
    </row>
    <row r="176" spans="1:6" s="38" customFormat="1" x14ac:dyDescent="0.3">
      <c r="A176" s="97">
        <v>42842</v>
      </c>
      <c r="B176" s="38" t="s">
        <v>445</v>
      </c>
      <c r="C176" s="38" t="s">
        <v>1893</v>
      </c>
      <c r="D176" s="42"/>
      <c r="E176" s="42"/>
      <c r="F176" s="7"/>
    </row>
    <row r="177" spans="1:6" s="38" customFormat="1" x14ac:dyDescent="0.3">
      <c r="A177" s="97">
        <v>42842</v>
      </c>
      <c r="B177" s="38" t="s">
        <v>447</v>
      </c>
      <c r="C177" s="38" t="s">
        <v>1894</v>
      </c>
      <c r="D177" s="42"/>
      <c r="E177" s="42"/>
      <c r="F177" s="7"/>
    </row>
    <row r="178" spans="1:6" s="38" customFormat="1" x14ac:dyDescent="0.3">
      <c r="A178" s="97">
        <v>42842</v>
      </c>
      <c r="B178" s="38" t="s">
        <v>1249</v>
      </c>
      <c r="C178" s="38" t="s">
        <v>1250</v>
      </c>
      <c r="D178" s="42"/>
      <c r="E178" s="42"/>
      <c r="F178" s="7"/>
    </row>
    <row r="179" spans="1:6" s="38" customFormat="1" x14ac:dyDescent="0.3">
      <c r="A179" s="97">
        <v>42842</v>
      </c>
      <c r="B179" s="38" t="s">
        <v>1252</v>
      </c>
      <c r="C179" s="38" t="s">
        <v>1253</v>
      </c>
      <c r="D179" s="42"/>
      <c r="E179" s="42"/>
      <c r="F179" s="7"/>
    </row>
    <row r="180" spans="1:6" s="38" customFormat="1" x14ac:dyDescent="0.3">
      <c r="A180" s="97">
        <v>42842</v>
      </c>
      <c r="B180" s="38" t="s">
        <v>1254</v>
      </c>
      <c r="C180" s="38" t="s">
        <v>1255</v>
      </c>
      <c r="D180" s="42"/>
      <c r="E180" s="42"/>
      <c r="F180" s="7"/>
    </row>
    <row r="181" spans="1:6" s="38" customFormat="1" x14ac:dyDescent="0.3">
      <c r="A181" s="97">
        <v>42842</v>
      </c>
      <c r="B181" s="38" t="s">
        <v>1256</v>
      </c>
      <c r="C181" s="38" t="s">
        <v>1257</v>
      </c>
      <c r="D181" s="42"/>
      <c r="E181" s="42"/>
      <c r="F181" s="7"/>
    </row>
    <row r="182" spans="1:6" s="38" customFormat="1" x14ac:dyDescent="0.3">
      <c r="A182" s="97">
        <v>42842</v>
      </c>
      <c r="B182" s="38" t="s">
        <v>2485</v>
      </c>
      <c r="C182" s="38" t="s">
        <v>3761</v>
      </c>
      <c r="D182" s="42"/>
      <c r="E182" s="42"/>
      <c r="F182" s="7"/>
    </row>
    <row r="183" spans="1:6" s="38" customFormat="1" x14ac:dyDescent="0.3">
      <c r="A183" s="97">
        <v>42842</v>
      </c>
      <c r="B183" s="38" t="s">
        <v>2486</v>
      </c>
      <c r="C183" s="38" t="s">
        <v>3762</v>
      </c>
      <c r="D183" s="42"/>
      <c r="E183" s="42"/>
      <c r="F183" s="7"/>
    </row>
    <row r="184" spans="1:6" s="38" customFormat="1" x14ac:dyDescent="0.3">
      <c r="A184" s="97">
        <v>42842</v>
      </c>
      <c r="B184" s="38" t="s">
        <v>2487</v>
      </c>
      <c r="C184" s="38" t="s">
        <v>3763</v>
      </c>
      <c r="D184" s="42"/>
      <c r="E184" s="42"/>
      <c r="F184" s="7"/>
    </row>
    <row r="185" spans="1:6" s="38" customFormat="1" x14ac:dyDescent="0.3">
      <c r="A185" s="97">
        <v>42842</v>
      </c>
      <c r="B185" s="38" t="s">
        <v>2488</v>
      </c>
      <c r="C185" s="38" t="s">
        <v>3764</v>
      </c>
      <c r="D185" s="42"/>
      <c r="E185" s="42"/>
      <c r="F185" s="7"/>
    </row>
    <row r="186" spans="1:6" x14ac:dyDescent="0.3">
      <c r="A186" s="97">
        <v>42842</v>
      </c>
      <c r="B186" s="38" t="s">
        <v>2489</v>
      </c>
      <c r="C186" s="38" t="s">
        <v>3765</v>
      </c>
      <c r="D186" s="42"/>
      <c r="E186" s="42"/>
      <c r="F186" s="7"/>
    </row>
    <row r="187" spans="1:6" x14ac:dyDescent="0.3">
      <c r="A187" s="97">
        <v>42842</v>
      </c>
      <c r="B187" s="38" t="s">
        <v>2490</v>
      </c>
      <c r="C187" s="38" t="s">
        <v>3766</v>
      </c>
      <c r="D187" s="42"/>
      <c r="E187" s="42"/>
      <c r="F187" s="7"/>
    </row>
    <row r="188" spans="1:6" s="7" customFormat="1" x14ac:dyDescent="0.3">
      <c r="A188" s="97">
        <v>42842</v>
      </c>
      <c r="B188" s="38" t="s">
        <v>2491</v>
      </c>
      <c r="C188" s="38" t="s">
        <v>3767</v>
      </c>
      <c r="D188" s="42"/>
      <c r="E188" s="42"/>
    </row>
    <row r="189" spans="1:6" s="7" customFormat="1" x14ac:dyDescent="0.3">
      <c r="A189" s="97">
        <v>42842</v>
      </c>
      <c r="B189" s="38" t="s">
        <v>2492</v>
      </c>
      <c r="C189" s="38" t="s">
        <v>3768</v>
      </c>
      <c r="D189" s="42"/>
      <c r="E189" s="42"/>
    </row>
    <row r="190" spans="1:6" s="7" customFormat="1" x14ac:dyDescent="0.3">
      <c r="A190" s="97">
        <v>42842</v>
      </c>
      <c r="B190" s="38" t="s">
        <v>2493</v>
      </c>
      <c r="C190" s="38" t="s">
        <v>3769</v>
      </c>
      <c r="D190" s="42"/>
      <c r="E190" s="42"/>
    </row>
    <row r="191" spans="1:6" s="7" customFormat="1" x14ac:dyDescent="0.3">
      <c r="A191" s="97">
        <v>42842</v>
      </c>
      <c r="B191" s="38" t="s">
        <v>3752</v>
      </c>
      <c r="C191" s="38" t="s">
        <v>3753</v>
      </c>
      <c r="D191" s="42"/>
      <c r="E191" s="42"/>
    </row>
    <row r="192" spans="1:6" s="7" customFormat="1" x14ac:dyDescent="0.3">
      <c r="A192" s="97">
        <v>42842</v>
      </c>
      <c r="B192" s="38" t="s">
        <v>3754</v>
      </c>
      <c r="C192" s="38" t="s">
        <v>3755</v>
      </c>
      <c r="D192" s="42"/>
      <c r="E192" s="42"/>
    </row>
    <row r="193" spans="1:6" s="7" customFormat="1" x14ac:dyDescent="0.3">
      <c r="A193" s="97">
        <v>42842</v>
      </c>
      <c r="B193" s="38" t="s">
        <v>3756</v>
      </c>
      <c r="C193" s="38" t="s">
        <v>3757</v>
      </c>
      <c r="D193" s="42"/>
      <c r="E193" s="42"/>
    </row>
    <row r="194" spans="1:6" s="7" customFormat="1" x14ac:dyDescent="0.3">
      <c r="A194" s="97">
        <v>42842</v>
      </c>
      <c r="B194" s="38" t="s">
        <v>2506</v>
      </c>
      <c r="C194" s="38" t="s">
        <v>3770</v>
      </c>
      <c r="D194" s="42"/>
      <c r="E194" s="42"/>
    </row>
    <row r="195" spans="1:6" s="7" customFormat="1" x14ac:dyDescent="0.3">
      <c r="A195" s="97">
        <v>42842</v>
      </c>
      <c r="B195" s="38" t="s">
        <v>2507</v>
      </c>
      <c r="C195" s="38" t="s">
        <v>3771</v>
      </c>
      <c r="D195" s="42"/>
      <c r="E195" s="42"/>
    </row>
    <row r="196" spans="1:6" s="7" customFormat="1" x14ac:dyDescent="0.3">
      <c r="A196" s="97">
        <v>42842</v>
      </c>
      <c r="B196" s="38" t="s">
        <v>2508</v>
      </c>
      <c r="C196" s="38" t="s">
        <v>3758</v>
      </c>
      <c r="D196" s="42"/>
      <c r="E196" s="42"/>
    </row>
    <row r="197" spans="1:6" s="7" customFormat="1" x14ac:dyDescent="0.3">
      <c r="A197" s="97">
        <v>42842</v>
      </c>
      <c r="B197" s="38" t="s">
        <v>2509</v>
      </c>
      <c r="C197" s="38" t="s">
        <v>3772</v>
      </c>
      <c r="D197" s="42"/>
      <c r="E197" s="42"/>
    </row>
    <row r="198" spans="1:6" s="7" customFormat="1" x14ac:dyDescent="0.3">
      <c r="A198" s="97">
        <v>42842</v>
      </c>
      <c r="B198" s="38" t="s">
        <v>2510</v>
      </c>
      <c r="C198" s="38" t="s">
        <v>3773</v>
      </c>
      <c r="D198" s="42"/>
      <c r="E198" s="42"/>
    </row>
    <row r="199" spans="1:6" s="7" customFormat="1" x14ac:dyDescent="0.3">
      <c r="A199" s="97">
        <v>42842</v>
      </c>
      <c r="B199" s="38" t="s">
        <v>2511</v>
      </c>
      <c r="C199" s="38" t="s">
        <v>3759</v>
      </c>
      <c r="D199" s="42"/>
      <c r="E199" s="42"/>
    </row>
    <row r="200" spans="1:6" s="7" customFormat="1" x14ac:dyDescent="0.3">
      <c r="A200" s="97">
        <v>42842</v>
      </c>
      <c r="B200" s="38" t="s">
        <v>2512</v>
      </c>
      <c r="C200" s="38" t="s">
        <v>3774</v>
      </c>
      <c r="D200" s="38"/>
      <c r="E200" s="42"/>
    </row>
    <row r="201" spans="1:6" s="7" customFormat="1" x14ac:dyDescent="0.3">
      <c r="A201" s="97">
        <v>42842</v>
      </c>
      <c r="B201" s="38" t="s">
        <v>2513</v>
      </c>
      <c r="C201" s="38" t="s">
        <v>3775</v>
      </c>
      <c r="D201" s="38"/>
      <c r="E201" s="42"/>
    </row>
    <row r="202" spans="1:6" s="7" customFormat="1" x14ac:dyDescent="0.3">
      <c r="A202" s="97">
        <v>42842</v>
      </c>
      <c r="B202" s="38" t="s">
        <v>2514</v>
      </c>
      <c r="C202" s="38" t="s">
        <v>3760</v>
      </c>
      <c r="D202" s="42"/>
      <c r="E202" s="42"/>
    </row>
    <row r="203" spans="1:6" s="7" customFormat="1" x14ac:dyDescent="0.3">
      <c r="A203" s="97">
        <v>42916</v>
      </c>
      <c r="B203" s="42" t="s">
        <v>1020</v>
      </c>
      <c r="C203" s="38" t="s">
        <v>1269</v>
      </c>
      <c r="D203" s="42"/>
      <c r="E203" s="42"/>
    </row>
    <row r="204" spans="1:6" s="7" customFormat="1" x14ac:dyDescent="0.3">
      <c r="A204" s="97">
        <v>42916</v>
      </c>
      <c r="B204" s="42" t="s">
        <v>1021</v>
      </c>
      <c r="C204" s="42" t="s">
        <v>1272</v>
      </c>
      <c r="D204" s="42"/>
      <c r="E204" s="42"/>
    </row>
    <row r="205" spans="1:6" s="7" customFormat="1" x14ac:dyDescent="0.3">
      <c r="A205" s="97">
        <v>42992</v>
      </c>
      <c r="B205" s="42" t="s">
        <v>1082</v>
      </c>
      <c r="C205" s="42" t="s">
        <v>1083</v>
      </c>
      <c r="D205" s="42"/>
      <c r="E205" s="42"/>
    </row>
    <row r="206" spans="1:6" s="7" customFormat="1" x14ac:dyDescent="0.3">
      <c r="A206" s="97">
        <v>43084</v>
      </c>
      <c r="B206" s="42" t="s">
        <v>1870</v>
      </c>
      <c r="C206" s="42" t="s">
        <v>2008</v>
      </c>
      <c r="D206" s="42"/>
      <c r="E206" s="42"/>
    </row>
    <row r="207" spans="1:6" s="84" customFormat="1" x14ac:dyDescent="0.3">
      <c r="A207" s="97"/>
      <c r="B207" s="28"/>
      <c r="C207" s="28"/>
      <c r="D207"/>
      <c r="E207"/>
      <c r="F207"/>
    </row>
    <row r="208" spans="1:6" s="84" customFormat="1" x14ac:dyDescent="0.3">
      <c r="A208" s="99" t="s">
        <v>3836</v>
      </c>
      <c r="B208" s="6" t="str">
        <f>"Change in code ("&amp;COUNTA(B209:B209)&amp;")"</f>
        <v>Change in code (0)</v>
      </c>
      <c r="C208" s="6" t="s">
        <v>28</v>
      </c>
      <c r="D208" s="6" t="s">
        <v>114</v>
      </c>
      <c r="E208"/>
      <c r="F208"/>
    </row>
    <row r="209" spans="1:6" s="84" customFormat="1" x14ac:dyDescent="0.3">
      <c r="A209" s="97"/>
      <c r="B209" s="7"/>
      <c r="C209" s="7"/>
      <c r="D209"/>
      <c r="E209"/>
      <c r="F209"/>
    </row>
    <row r="210" spans="1:6" s="84" customFormat="1" x14ac:dyDescent="0.3">
      <c r="A210" s="99" t="s">
        <v>3836</v>
      </c>
      <c r="B210" s="6" t="str">
        <f>"Change in description ("&amp;COUNTA(B211:B259)&amp;")"</f>
        <v>Change in description (48)</v>
      </c>
      <c r="C210" s="6" t="s">
        <v>115</v>
      </c>
      <c r="D210" s="6" t="s">
        <v>116</v>
      </c>
      <c r="E210"/>
      <c r="F210"/>
    </row>
    <row r="211" spans="1:6" s="84" customFormat="1" x14ac:dyDescent="0.3">
      <c r="A211" s="97">
        <v>42842</v>
      </c>
      <c r="B211" s="42" t="s">
        <v>527</v>
      </c>
      <c r="C211" s="42" t="s">
        <v>3141</v>
      </c>
      <c r="D211" s="42" t="s">
        <v>3648</v>
      </c>
      <c r="E211" s="38"/>
      <c r="F211" s="38"/>
    </row>
    <row r="212" spans="1:6" s="84" customFormat="1" x14ac:dyDescent="0.3">
      <c r="A212" s="97">
        <v>42842</v>
      </c>
      <c r="B212" s="42" t="s">
        <v>530</v>
      </c>
      <c r="C212" s="42" t="s">
        <v>3142</v>
      </c>
      <c r="D212" s="42" t="s">
        <v>3649</v>
      </c>
      <c r="E212" s="38"/>
      <c r="F212" s="38"/>
    </row>
    <row r="213" spans="1:6" s="84" customFormat="1" x14ac:dyDescent="0.3">
      <c r="A213" s="97">
        <v>42871</v>
      </c>
      <c r="B213" s="42" t="s">
        <v>3790</v>
      </c>
      <c r="C213" s="38" t="s">
        <v>3791</v>
      </c>
      <c r="D213" s="42" t="s">
        <v>3837</v>
      </c>
      <c r="E213" s="38"/>
      <c r="F213" s="38"/>
    </row>
    <row r="214" spans="1:6" s="84" customFormat="1" x14ac:dyDescent="0.3">
      <c r="A214" s="97">
        <v>42871</v>
      </c>
      <c r="B214" s="42" t="s">
        <v>3792</v>
      </c>
      <c r="C214" s="38" t="s">
        <v>3793</v>
      </c>
      <c r="D214" s="42" t="s">
        <v>3838</v>
      </c>
      <c r="E214" s="38"/>
      <c r="F214" s="38"/>
    </row>
    <row r="215" spans="1:6" s="84" customFormat="1" x14ac:dyDescent="0.3">
      <c r="A215" s="97">
        <v>42871</v>
      </c>
      <c r="B215" s="42" t="s">
        <v>3794</v>
      </c>
      <c r="C215" s="38" t="s">
        <v>3795</v>
      </c>
      <c r="D215" s="42" t="s">
        <v>3839</v>
      </c>
      <c r="E215" s="38"/>
      <c r="F215" s="38"/>
    </row>
    <row r="216" spans="1:6" s="84" customFormat="1" x14ac:dyDescent="0.3">
      <c r="A216" s="97">
        <v>42871</v>
      </c>
      <c r="B216" s="42" t="s">
        <v>3778</v>
      </c>
      <c r="C216" s="38" t="s">
        <v>3779</v>
      </c>
      <c r="D216" s="42" t="s">
        <v>3840</v>
      </c>
      <c r="E216" s="38"/>
      <c r="F216" s="38"/>
    </row>
    <row r="217" spans="1:6" s="84" customFormat="1" x14ac:dyDescent="0.3">
      <c r="A217" s="97">
        <v>42871</v>
      </c>
      <c r="B217" s="42" t="s">
        <v>3780</v>
      </c>
      <c r="C217" s="38" t="s">
        <v>3781</v>
      </c>
      <c r="D217" s="42" t="s">
        <v>3841</v>
      </c>
      <c r="E217" s="38"/>
      <c r="F217" s="38"/>
    </row>
    <row r="218" spans="1:6" s="84" customFormat="1" x14ac:dyDescent="0.3">
      <c r="A218" s="97">
        <v>42871</v>
      </c>
      <c r="B218" s="42" t="s">
        <v>3782</v>
      </c>
      <c r="C218" s="42" t="s">
        <v>3783</v>
      </c>
      <c r="D218" s="42" t="s">
        <v>3842</v>
      </c>
      <c r="E218" s="38"/>
      <c r="F218" s="38"/>
    </row>
    <row r="219" spans="1:6" s="84" customFormat="1" x14ac:dyDescent="0.3">
      <c r="A219" s="97">
        <v>42871</v>
      </c>
      <c r="B219" s="42" t="s">
        <v>3784</v>
      </c>
      <c r="C219" s="42" t="s">
        <v>3785</v>
      </c>
      <c r="D219" s="42" t="s">
        <v>3843</v>
      </c>
      <c r="E219" s="38"/>
      <c r="F219" s="38"/>
    </row>
    <row r="220" spans="1:6" s="84" customFormat="1" x14ac:dyDescent="0.3">
      <c r="A220" s="97">
        <v>42871</v>
      </c>
      <c r="B220" s="42" t="s">
        <v>3786</v>
      </c>
      <c r="C220" s="42" t="s">
        <v>3787</v>
      </c>
      <c r="D220" s="42" t="s">
        <v>3844</v>
      </c>
      <c r="E220" s="38"/>
      <c r="F220" s="38"/>
    </row>
    <row r="221" spans="1:6" s="84" customFormat="1" x14ac:dyDescent="0.3">
      <c r="A221" s="97">
        <v>42871</v>
      </c>
      <c r="B221" s="42" t="s">
        <v>3788</v>
      </c>
      <c r="C221" s="42" t="s">
        <v>3855</v>
      </c>
      <c r="D221" s="42" t="s">
        <v>3845</v>
      </c>
      <c r="E221" s="38"/>
      <c r="F221" s="38"/>
    </row>
    <row r="222" spans="1:6" s="84" customFormat="1" x14ac:dyDescent="0.3">
      <c r="A222" s="97">
        <v>42871</v>
      </c>
      <c r="B222" s="42" t="s">
        <v>3808</v>
      </c>
      <c r="C222" s="42" t="s">
        <v>3809</v>
      </c>
      <c r="D222" s="42" t="s">
        <v>3846</v>
      </c>
      <c r="E222" s="38"/>
      <c r="F222" s="38"/>
    </row>
    <row r="223" spans="1:6" s="84" customFormat="1" x14ac:dyDescent="0.3">
      <c r="A223" s="97">
        <v>42871</v>
      </c>
      <c r="B223" s="42" t="s">
        <v>3810</v>
      </c>
      <c r="C223" s="42" t="s">
        <v>3811</v>
      </c>
      <c r="D223" s="42" t="s">
        <v>3847</v>
      </c>
      <c r="E223" s="38"/>
      <c r="F223" s="38"/>
    </row>
    <row r="224" spans="1:6" s="84" customFormat="1" x14ac:dyDescent="0.3">
      <c r="A224" s="97">
        <v>42871</v>
      </c>
      <c r="B224" s="42" t="s">
        <v>3812</v>
      </c>
      <c r="C224" s="42" t="s">
        <v>3813</v>
      </c>
      <c r="D224" s="42" t="s">
        <v>3848</v>
      </c>
      <c r="E224" s="38"/>
      <c r="F224" s="38"/>
    </row>
    <row r="225" spans="1:6" s="84" customFormat="1" x14ac:dyDescent="0.3">
      <c r="A225" s="97">
        <v>42871</v>
      </c>
      <c r="B225" s="42" t="s">
        <v>3796</v>
      </c>
      <c r="C225" s="42" t="s">
        <v>3797</v>
      </c>
      <c r="D225" s="42" t="s">
        <v>3849</v>
      </c>
      <c r="E225" s="38"/>
      <c r="F225" s="38"/>
    </row>
    <row r="226" spans="1:6" s="84" customFormat="1" x14ac:dyDescent="0.3">
      <c r="A226" s="97">
        <v>42871</v>
      </c>
      <c r="B226" s="42" t="s">
        <v>3798</v>
      </c>
      <c r="C226" s="42" t="s">
        <v>3799</v>
      </c>
      <c r="D226" s="42" t="s">
        <v>3850</v>
      </c>
      <c r="E226" s="38"/>
      <c r="F226" s="38"/>
    </row>
    <row r="227" spans="1:6" s="84" customFormat="1" x14ac:dyDescent="0.3">
      <c r="A227" s="97">
        <v>42871</v>
      </c>
      <c r="B227" s="42" t="s">
        <v>3800</v>
      </c>
      <c r="C227" s="42" t="s">
        <v>3801</v>
      </c>
      <c r="D227" s="42" t="s">
        <v>3851</v>
      </c>
      <c r="E227" s="38"/>
      <c r="F227" s="38"/>
    </row>
    <row r="228" spans="1:6" s="84" customFormat="1" x14ac:dyDescent="0.3">
      <c r="A228" s="97">
        <v>42871</v>
      </c>
      <c r="B228" s="42" t="s">
        <v>3802</v>
      </c>
      <c r="C228" s="42" t="s">
        <v>3803</v>
      </c>
      <c r="D228" s="42" t="s">
        <v>3852</v>
      </c>
      <c r="E228" s="38"/>
      <c r="F228" s="38"/>
    </row>
    <row r="229" spans="1:6" s="84" customFormat="1" x14ac:dyDescent="0.3">
      <c r="A229" s="97">
        <v>42871</v>
      </c>
      <c r="B229" s="42" t="s">
        <v>3804</v>
      </c>
      <c r="C229" s="42" t="s">
        <v>3805</v>
      </c>
      <c r="D229" s="42" t="s">
        <v>3853</v>
      </c>
      <c r="E229" s="38"/>
      <c r="F229" s="38"/>
    </row>
    <row r="230" spans="1:6" s="84" customFormat="1" x14ac:dyDescent="0.3">
      <c r="A230" s="97">
        <v>42871</v>
      </c>
      <c r="B230" s="42" t="s">
        <v>3806</v>
      </c>
      <c r="C230" s="42" t="s">
        <v>3807</v>
      </c>
      <c r="D230" s="42" t="s">
        <v>3854</v>
      </c>
      <c r="E230" s="38"/>
      <c r="F230" s="38"/>
    </row>
    <row r="231" spans="1:6" s="84" customFormat="1" x14ac:dyDescent="0.3">
      <c r="A231" s="97">
        <v>42949</v>
      </c>
      <c r="B231" s="42" t="s">
        <v>3533</v>
      </c>
      <c r="C231" s="42" t="s">
        <v>3534</v>
      </c>
      <c r="D231" s="42" t="s">
        <v>3918</v>
      </c>
      <c r="E231" s="38"/>
      <c r="F231" s="38"/>
    </row>
    <row r="232" spans="1:6" s="84" customFormat="1" x14ac:dyDescent="0.3">
      <c r="A232" s="97">
        <v>43059</v>
      </c>
      <c r="B232" s="42" t="s">
        <v>2212</v>
      </c>
      <c r="C232" s="42" t="s">
        <v>2213</v>
      </c>
      <c r="D232" s="42" t="s">
        <v>4016</v>
      </c>
      <c r="E232" s="38"/>
      <c r="F232" s="38"/>
    </row>
    <row r="233" spans="1:6" s="84" customFormat="1" x14ac:dyDescent="0.3">
      <c r="A233" s="97">
        <v>43084</v>
      </c>
      <c r="B233" s="42" t="s">
        <v>2675</v>
      </c>
      <c r="C233" s="42" t="s">
        <v>2677</v>
      </c>
      <c r="D233" s="42" t="s">
        <v>4047</v>
      </c>
      <c r="E233" s="38"/>
      <c r="F233" s="38"/>
    </row>
    <row r="234" spans="1:6" s="84" customFormat="1" x14ac:dyDescent="0.3">
      <c r="A234" s="97">
        <v>43084</v>
      </c>
      <c r="B234" s="42" t="s">
        <v>2672</v>
      </c>
      <c r="C234" s="42" t="s">
        <v>2674</v>
      </c>
      <c r="D234" s="42" t="s">
        <v>4048</v>
      </c>
      <c r="E234" s="38"/>
      <c r="F234" s="38"/>
    </row>
    <row r="235" spans="1:6" s="84" customFormat="1" x14ac:dyDescent="0.3">
      <c r="A235" s="97">
        <v>43084</v>
      </c>
      <c r="B235" s="42" t="s">
        <v>2776</v>
      </c>
      <c r="C235" s="42" t="s">
        <v>4041</v>
      </c>
      <c r="D235" s="42" t="s">
        <v>4049</v>
      </c>
      <c r="E235" s="38"/>
      <c r="F235" s="38"/>
    </row>
    <row r="236" spans="1:6" s="84" customFormat="1" x14ac:dyDescent="0.3">
      <c r="A236" s="97">
        <v>43084</v>
      </c>
      <c r="B236" s="42" t="s">
        <v>2681</v>
      </c>
      <c r="C236" s="42" t="s">
        <v>2683</v>
      </c>
      <c r="D236" s="42" t="s">
        <v>4050</v>
      </c>
      <c r="E236" s="38"/>
      <c r="F236" s="38"/>
    </row>
    <row r="237" spans="1:6" s="84" customFormat="1" x14ac:dyDescent="0.3">
      <c r="A237" s="97">
        <v>43084</v>
      </c>
      <c r="B237" s="42" t="s">
        <v>2678</v>
      </c>
      <c r="C237" s="42" t="s">
        <v>2680</v>
      </c>
      <c r="D237" s="42" t="s">
        <v>4051</v>
      </c>
      <c r="E237" s="38"/>
      <c r="F237" s="38"/>
    </row>
    <row r="238" spans="1:6" s="84" customFormat="1" x14ac:dyDescent="0.3">
      <c r="A238" s="97">
        <v>43084</v>
      </c>
      <c r="B238" s="42" t="s">
        <v>2777</v>
      </c>
      <c r="C238" s="42" t="s">
        <v>4042</v>
      </c>
      <c r="D238" s="42" t="s">
        <v>4052</v>
      </c>
      <c r="E238" s="38"/>
      <c r="F238" s="38"/>
    </row>
    <row r="239" spans="1:6" s="84" customFormat="1" x14ac:dyDescent="0.3">
      <c r="A239" s="97">
        <v>43084</v>
      </c>
      <c r="B239" s="42" t="s">
        <v>2684</v>
      </c>
      <c r="C239" s="42" t="s">
        <v>2686</v>
      </c>
      <c r="D239" s="42" t="s">
        <v>4053</v>
      </c>
      <c r="E239" s="38"/>
      <c r="F239" s="38"/>
    </row>
    <row r="240" spans="1:6" s="84" customFormat="1" x14ac:dyDescent="0.3">
      <c r="A240" s="97">
        <v>43084</v>
      </c>
      <c r="B240" s="42" t="s">
        <v>2687</v>
      </c>
      <c r="C240" s="42" t="s">
        <v>2689</v>
      </c>
      <c r="D240" s="42" t="s">
        <v>4054</v>
      </c>
      <c r="E240" s="38"/>
      <c r="F240" s="38"/>
    </row>
    <row r="241" spans="1:6" s="84" customFormat="1" x14ac:dyDescent="0.3">
      <c r="A241" s="97">
        <v>43084</v>
      </c>
      <c r="B241" s="42" t="s">
        <v>2778</v>
      </c>
      <c r="C241" s="42" t="s">
        <v>4043</v>
      </c>
      <c r="D241" s="42" t="s">
        <v>4055</v>
      </c>
      <c r="E241" s="38"/>
      <c r="F241" s="38"/>
    </row>
    <row r="242" spans="1:6" s="84" customFormat="1" x14ac:dyDescent="0.3">
      <c r="A242" s="97">
        <v>43084</v>
      </c>
      <c r="B242" s="42" t="s">
        <v>1223</v>
      </c>
      <c r="C242" s="42" t="s">
        <v>3385</v>
      </c>
      <c r="D242" s="42" t="s">
        <v>4056</v>
      </c>
      <c r="E242" s="38"/>
      <c r="F242" s="38"/>
    </row>
    <row r="243" spans="1:6" s="84" customFormat="1" x14ac:dyDescent="0.3">
      <c r="A243" s="97">
        <v>43084</v>
      </c>
      <c r="B243" s="42" t="s">
        <v>1226</v>
      </c>
      <c r="C243" s="42" t="s">
        <v>3386</v>
      </c>
      <c r="D243" s="42" t="s">
        <v>4057</v>
      </c>
      <c r="E243" s="38"/>
      <c r="F243" s="38"/>
    </row>
    <row r="244" spans="1:6" s="84" customFormat="1" x14ac:dyDescent="0.3">
      <c r="A244" s="97">
        <v>43084</v>
      </c>
      <c r="B244" s="42" t="s">
        <v>1228</v>
      </c>
      <c r="C244" s="42" t="s">
        <v>3387</v>
      </c>
      <c r="D244" s="42" t="s">
        <v>4058</v>
      </c>
      <c r="E244" s="38"/>
      <c r="F244" s="38"/>
    </row>
    <row r="245" spans="1:6" s="84" customFormat="1" x14ac:dyDescent="0.3">
      <c r="A245" s="97">
        <v>43084</v>
      </c>
      <c r="B245" s="42" t="s">
        <v>664</v>
      </c>
      <c r="C245" s="42" t="s">
        <v>3388</v>
      </c>
      <c r="D245" s="42" t="s">
        <v>4059</v>
      </c>
      <c r="E245" s="38"/>
      <c r="F245" s="38"/>
    </row>
    <row r="246" spans="1:6" s="84" customFormat="1" x14ac:dyDescent="0.3">
      <c r="A246" s="97">
        <v>43084</v>
      </c>
      <c r="B246" s="42" t="s">
        <v>667</v>
      </c>
      <c r="C246" s="42" t="s">
        <v>3389</v>
      </c>
      <c r="D246" s="42" t="s">
        <v>4060</v>
      </c>
      <c r="E246" s="38"/>
      <c r="F246" s="38"/>
    </row>
    <row r="247" spans="1:6" s="84" customFormat="1" x14ac:dyDescent="0.3">
      <c r="A247" s="97">
        <v>43084</v>
      </c>
      <c r="B247" s="42" t="s">
        <v>668</v>
      </c>
      <c r="C247" s="42" t="s">
        <v>3390</v>
      </c>
      <c r="D247" s="42" t="s">
        <v>4061</v>
      </c>
      <c r="E247" s="38"/>
      <c r="F247" s="38"/>
    </row>
    <row r="248" spans="1:6" s="84" customFormat="1" x14ac:dyDescent="0.3">
      <c r="A248" s="97">
        <v>43084</v>
      </c>
      <c r="B248" s="42" t="s">
        <v>3699</v>
      </c>
      <c r="C248" s="42" t="s">
        <v>4044</v>
      </c>
      <c r="D248" s="42" t="s">
        <v>4062</v>
      </c>
      <c r="E248" s="38"/>
      <c r="F248" s="38"/>
    </row>
    <row r="249" spans="1:6" s="84" customFormat="1" x14ac:dyDescent="0.3">
      <c r="A249" s="97">
        <v>43084</v>
      </c>
      <c r="B249" s="42" t="s">
        <v>3700</v>
      </c>
      <c r="C249" s="42" t="s">
        <v>4045</v>
      </c>
      <c r="D249" s="42" t="s">
        <v>4063</v>
      </c>
      <c r="E249" s="38"/>
      <c r="F249" s="38"/>
    </row>
    <row r="250" spans="1:6" s="84" customFormat="1" x14ac:dyDescent="0.3">
      <c r="A250" s="97">
        <v>43084</v>
      </c>
      <c r="B250" s="42" t="s">
        <v>3701</v>
      </c>
      <c r="C250" s="42" t="s">
        <v>4046</v>
      </c>
      <c r="D250" s="42" t="s">
        <v>4064</v>
      </c>
      <c r="E250" s="38"/>
      <c r="F250" s="38"/>
    </row>
    <row r="251" spans="1:6" s="84" customFormat="1" x14ac:dyDescent="0.3">
      <c r="A251" s="97">
        <v>43084</v>
      </c>
      <c r="B251" s="42" t="s">
        <v>1233</v>
      </c>
      <c r="C251" s="42" t="s">
        <v>3391</v>
      </c>
      <c r="D251" s="42" t="s">
        <v>4065</v>
      </c>
      <c r="E251" s="38"/>
      <c r="F251" s="38"/>
    </row>
    <row r="252" spans="1:6" s="84" customFormat="1" x14ac:dyDescent="0.3">
      <c r="A252" s="97">
        <v>43084</v>
      </c>
      <c r="B252" s="42" t="s">
        <v>1236</v>
      </c>
      <c r="C252" s="42" t="s">
        <v>3392</v>
      </c>
      <c r="D252" s="42" t="s">
        <v>4066</v>
      </c>
      <c r="E252" s="38"/>
      <c r="F252" s="38"/>
    </row>
    <row r="253" spans="1:6" s="84" customFormat="1" x14ac:dyDescent="0.3">
      <c r="A253" s="97">
        <v>43084</v>
      </c>
      <c r="B253" s="42" t="s">
        <v>1238</v>
      </c>
      <c r="C253" s="42" t="s">
        <v>3393</v>
      </c>
      <c r="D253" s="42" t="s">
        <v>4067</v>
      </c>
      <c r="E253" s="38"/>
      <c r="F253" s="38"/>
    </row>
    <row r="254" spans="1:6" s="84" customFormat="1" x14ac:dyDescent="0.3">
      <c r="A254" s="97">
        <v>43084</v>
      </c>
      <c r="B254" s="42" t="s">
        <v>1240</v>
      </c>
      <c r="C254" s="42" t="s">
        <v>3394</v>
      </c>
      <c r="D254" s="42" t="s">
        <v>4068</v>
      </c>
      <c r="E254" s="38"/>
      <c r="F254" s="38"/>
    </row>
    <row r="255" spans="1:6" s="84" customFormat="1" x14ac:dyDescent="0.3">
      <c r="A255" s="97">
        <v>43084</v>
      </c>
      <c r="B255" s="42" t="s">
        <v>1243</v>
      </c>
      <c r="C255" s="42" t="s">
        <v>3395</v>
      </c>
      <c r="D255" s="42" t="s">
        <v>4069</v>
      </c>
      <c r="E255" s="38"/>
      <c r="F255" s="38"/>
    </row>
    <row r="256" spans="1:6" s="84" customFormat="1" x14ac:dyDescent="0.3">
      <c r="A256" s="97">
        <v>43084</v>
      </c>
      <c r="B256" s="42" t="s">
        <v>1245</v>
      </c>
      <c r="C256" s="42" t="s">
        <v>3396</v>
      </c>
      <c r="D256" s="42" t="s">
        <v>4070</v>
      </c>
      <c r="E256" s="38"/>
      <c r="F256" s="38"/>
    </row>
    <row r="257" spans="1:6" s="84" customFormat="1" x14ac:dyDescent="0.3">
      <c r="A257" s="97">
        <v>43084</v>
      </c>
      <c r="B257" s="42" t="s">
        <v>1873</v>
      </c>
      <c r="C257" s="42" t="s">
        <v>4108</v>
      </c>
      <c r="D257" s="42" t="s">
        <v>4109</v>
      </c>
      <c r="E257" s="38"/>
      <c r="F257" s="38"/>
    </row>
    <row r="258" spans="1:6" s="84" customFormat="1" x14ac:dyDescent="0.3">
      <c r="A258" s="97">
        <v>43084</v>
      </c>
      <c r="B258" s="42" t="s">
        <v>4110</v>
      </c>
      <c r="C258" s="42" t="s">
        <v>4111</v>
      </c>
      <c r="D258" s="42" t="s">
        <v>4112</v>
      </c>
      <c r="E258" s="38"/>
      <c r="F258" s="38"/>
    </row>
    <row r="259" spans="1:6" s="84" customFormat="1" x14ac:dyDescent="0.3">
      <c r="A259" s="97"/>
      <c r="B259"/>
      <c r="C259"/>
      <c r="D259"/>
      <c r="E259"/>
      <c r="F259"/>
    </row>
    <row r="260" spans="1:6" s="84" customFormat="1" x14ac:dyDescent="0.3">
      <c r="A260" s="99" t="s">
        <v>3836</v>
      </c>
      <c r="B260" s="5" t="str">
        <f>"Change in definition ("&amp;COUNTA(B261:B356)&amp;")"</f>
        <v>Change in definition (95)</v>
      </c>
      <c r="C260" s="5" t="s">
        <v>198</v>
      </c>
      <c r="D260" s="5" t="s">
        <v>199</v>
      </c>
      <c r="E260"/>
      <c r="F260"/>
    </row>
    <row r="261" spans="1:6" s="84" customFormat="1" x14ac:dyDescent="0.3">
      <c r="A261" s="97">
        <v>42842</v>
      </c>
      <c r="B261" s="96" t="s">
        <v>2931</v>
      </c>
      <c r="C261" s="37" t="s">
        <v>3747</v>
      </c>
      <c r="D261" s="37" t="s">
        <v>3746</v>
      </c>
      <c r="E261" s="7"/>
      <c r="F261" s="7"/>
    </row>
    <row r="262" spans="1:6" s="84" customFormat="1" x14ac:dyDescent="0.3">
      <c r="A262" s="97">
        <v>42842</v>
      </c>
      <c r="B262" s="42" t="s">
        <v>527</v>
      </c>
      <c r="C262" s="37" t="s">
        <v>3748</v>
      </c>
      <c r="D262" s="96" t="s">
        <v>3750</v>
      </c>
      <c r="E262" s="7"/>
      <c r="F262" s="7"/>
    </row>
    <row r="263" spans="1:6" s="84" customFormat="1" x14ac:dyDescent="0.3">
      <c r="A263" s="100">
        <v>42842</v>
      </c>
      <c r="B263" s="42" t="s">
        <v>530</v>
      </c>
      <c r="C263" s="37" t="s">
        <v>3749</v>
      </c>
      <c r="D263" s="96" t="s">
        <v>3751</v>
      </c>
      <c r="E263" s="7"/>
      <c r="F263" s="7"/>
    </row>
    <row r="264" spans="1:6" s="84" customFormat="1" x14ac:dyDescent="0.3">
      <c r="A264" s="100">
        <v>42842</v>
      </c>
      <c r="B264" s="37" t="s">
        <v>1577</v>
      </c>
      <c r="C264" s="37" t="s">
        <v>1029</v>
      </c>
      <c r="D264" s="69" t="s">
        <v>3522</v>
      </c>
      <c r="E264" s="7"/>
      <c r="F264" s="7"/>
    </row>
    <row r="265" spans="1:6" s="84" customFormat="1" x14ac:dyDescent="0.3">
      <c r="A265" s="97">
        <v>42842</v>
      </c>
      <c r="B265" s="37" t="s">
        <v>1409</v>
      </c>
      <c r="C265" s="37" t="s">
        <v>382</v>
      </c>
      <c r="D265" s="69" t="s">
        <v>3522</v>
      </c>
      <c r="E265" s="7"/>
      <c r="F265" s="7"/>
    </row>
    <row r="266" spans="1:6" s="84" customFormat="1" x14ac:dyDescent="0.3">
      <c r="A266" s="97">
        <v>42842</v>
      </c>
      <c r="B266" s="37" t="s">
        <v>1412</v>
      </c>
      <c r="C266" s="37" t="s">
        <v>382</v>
      </c>
      <c r="D266" s="69" t="s">
        <v>3522</v>
      </c>
      <c r="E266" s="7"/>
      <c r="F266" s="7"/>
    </row>
    <row r="267" spans="1:6" s="84" customFormat="1" x14ac:dyDescent="0.3">
      <c r="A267" s="97">
        <v>42842</v>
      </c>
      <c r="B267" s="37" t="s">
        <v>1413</v>
      </c>
      <c r="C267" s="37" t="s">
        <v>382</v>
      </c>
      <c r="D267" s="69" t="s">
        <v>3522</v>
      </c>
      <c r="E267" s="7"/>
      <c r="F267" s="7"/>
    </row>
    <row r="268" spans="1:6" s="84" customFormat="1" x14ac:dyDescent="0.3">
      <c r="A268" s="97">
        <v>42842</v>
      </c>
      <c r="B268" s="37" t="s">
        <v>1414</v>
      </c>
      <c r="C268" s="37" t="s">
        <v>382</v>
      </c>
      <c r="D268" s="69" t="s">
        <v>3522</v>
      </c>
      <c r="E268" s="7"/>
      <c r="F268" s="7"/>
    </row>
    <row r="269" spans="1:6" s="84" customFormat="1" x14ac:dyDescent="0.3">
      <c r="A269" s="97">
        <v>42842</v>
      </c>
      <c r="B269" s="37" t="s">
        <v>1415</v>
      </c>
      <c r="C269" s="37" t="s">
        <v>382</v>
      </c>
      <c r="D269" s="69" t="s">
        <v>3522</v>
      </c>
      <c r="E269" s="7"/>
      <c r="F269" s="7"/>
    </row>
    <row r="270" spans="1:6" s="84" customFormat="1" x14ac:dyDescent="0.3">
      <c r="A270" s="97">
        <v>42842</v>
      </c>
      <c r="B270" s="37" t="s">
        <v>1579</v>
      </c>
      <c r="C270" s="37" t="s">
        <v>1029</v>
      </c>
      <c r="D270" s="69" t="s">
        <v>3522</v>
      </c>
      <c r="E270" s="7"/>
      <c r="F270" s="7"/>
    </row>
    <row r="271" spans="1:6" s="84" customFormat="1" x14ac:dyDescent="0.3">
      <c r="A271" s="97">
        <v>42842</v>
      </c>
      <c r="B271" s="37" t="s">
        <v>1416</v>
      </c>
      <c r="C271" s="37" t="s">
        <v>382</v>
      </c>
      <c r="D271" s="69" t="s">
        <v>3522</v>
      </c>
      <c r="E271" s="7"/>
      <c r="F271" s="7"/>
    </row>
    <row r="272" spans="1:6" s="84" customFormat="1" x14ac:dyDescent="0.3">
      <c r="A272" s="97">
        <v>42842</v>
      </c>
      <c r="B272" s="37" t="s">
        <v>1558</v>
      </c>
      <c r="C272" s="37" t="s">
        <v>382</v>
      </c>
      <c r="D272" s="69" t="s">
        <v>3522</v>
      </c>
      <c r="E272" s="7"/>
      <c r="F272" s="7"/>
    </row>
    <row r="273" spans="1:6" s="84" customFormat="1" x14ac:dyDescent="0.3">
      <c r="A273" s="97">
        <v>42842</v>
      </c>
      <c r="B273" s="37" t="s">
        <v>1417</v>
      </c>
      <c r="C273" s="37" t="s">
        <v>382</v>
      </c>
      <c r="D273" s="69" t="s">
        <v>3522</v>
      </c>
      <c r="E273" s="7"/>
      <c r="F273" s="7"/>
    </row>
    <row r="274" spans="1:6" s="84" customFormat="1" x14ac:dyDescent="0.3">
      <c r="A274" s="97">
        <v>42842</v>
      </c>
      <c r="B274" s="37" t="s">
        <v>1418</v>
      </c>
      <c r="C274" s="37" t="s">
        <v>382</v>
      </c>
      <c r="D274" s="69" t="s">
        <v>3522</v>
      </c>
      <c r="E274" s="7"/>
      <c r="F274" s="7"/>
    </row>
    <row r="275" spans="1:6" s="84" customFormat="1" x14ac:dyDescent="0.3">
      <c r="A275" s="97">
        <v>42842</v>
      </c>
      <c r="B275" s="37" t="s">
        <v>1419</v>
      </c>
      <c r="C275" s="37" t="s">
        <v>382</v>
      </c>
      <c r="D275" s="69" t="s">
        <v>3522</v>
      </c>
      <c r="E275" s="7"/>
      <c r="F275" s="7"/>
    </row>
    <row r="276" spans="1:6" s="84" customFormat="1" x14ac:dyDescent="0.3">
      <c r="A276" s="97">
        <v>42842</v>
      </c>
      <c r="B276" s="37" t="s">
        <v>1581</v>
      </c>
      <c r="C276" s="37" t="s">
        <v>1029</v>
      </c>
      <c r="D276" s="69" t="s">
        <v>3522</v>
      </c>
      <c r="E276" s="7"/>
      <c r="F276" s="7"/>
    </row>
    <row r="277" spans="1:6" s="84" customFormat="1" x14ac:dyDescent="0.3">
      <c r="A277" s="97">
        <v>42842</v>
      </c>
      <c r="B277" s="95" t="s">
        <v>3676</v>
      </c>
      <c r="C277" s="69" t="s">
        <v>3677</v>
      </c>
      <c r="D277" s="69" t="s">
        <v>3678</v>
      </c>
    </row>
    <row r="278" spans="1:6" s="84" customFormat="1" x14ac:dyDescent="0.3">
      <c r="A278" s="97">
        <v>42842</v>
      </c>
      <c r="B278" s="95" t="s">
        <v>309</v>
      </c>
      <c r="C278" s="69" t="s">
        <v>1203</v>
      </c>
      <c r="D278" s="69" t="s">
        <v>3650</v>
      </c>
    </row>
    <row r="279" spans="1:6" s="84" customFormat="1" x14ac:dyDescent="0.3">
      <c r="A279" s="97">
        <v>42842</v>
      </c>
      <c r="B279" s="95" t="s">
        <v>312</v>
      </c>
      <c r="C279" s="69" t="s">
        <v>1203</v>
      </c>
      <c r="D279" s="69" t="s">
        <v>3651</v>
      </c>
    </row>
    <row r="280" spans="1:6" s="84" customFormat="1" x14ac:dyDescent="0.3">
      <c r="A280" s="97">
        <v>42842</v>
      </c>
      <c r="B280" s="95" t="s">
        <v>1785</v>
      </c>
      <c r="C280" s="69" t="s">
        <v>1787</v>
      </c>
      <c r="D280" s="69" t="s">
        <v>3680</v>
      </c>
    </row>
    <row r="281" spans="1:6" s="84" customFormat="1" x14ac:dyDescent="0.3">
      <c r="A281" s="97">
        <v>42842</v>
      </c>
      <c r="B281" s="95" t="s">
        <v>1788</v>
      </c>
      <c r="C281" s="69" t="s">
        <v>1787</v>
      </c>
      <c r="D281" s="69" t="s">
        <v>3681</v>
      </c>
    </row>
    <row r="282" spans="1:6" s="84" customFormat="1" x14ac:dyDescent="0.3">
      <c r="A282" s="97">
        <v>42842</v>
      </c>
      <c r="B282" s="95" t="s">
        <v>1866</v>
      </c>
      <c r="C282" s="69" t="s">
        <v>3652</v>
      </c>
      <c r="D282" s="69" t="s">
        <v>3653</v>
      </c>
    </row>
    <row r="283" spans="1:6" s="84" customFormat="1" x14ac:dyDescent="0.3">
      <c r="A283" s="97">
        <v>42842</v>
      </c>
      <c r="B283" s="95" t="s">
        <v>1867</v>
      </c>
      <c r="C283" s="69" t="s">
        <v>3652</v>
      </c>
      <c r="D283" s="69" t="s">
        <v>3654</v>
      </c>
    </row>
    <row r="284" spans="1:6" s="84" customFormat="1" x14ac:dyDescent="0.3">
      <c r="A284" s="97">
        <v>42842</v>
      </c>
      <c r="B284" s="95" t="s">
        <v>3256</v>
      </c>
      <c r="C284" s="69" t="s">
        <v>3308</v>
      </c>
      <c r="D284" s="69" t="s">
        <v>3655</v>
      </c>
    </row>
    <row r="285" spans="1:6" s="84" customFormat="1" x14ac:dyDescent="0.3">
      <c r="A285" s="97">
        <v>42842</v>
      </c>
      <c r="B285" s="95" t="s">
        <v>3268</v>
      </c>
      <c r="C285" s="69" t="s">
        <v>3314</v>
      </c>
      <c r="D285" s="69" t="s">
        <v>3656</v>
      </c>
    </row>
    <row r="286" spans="1:6" s="84" customFormat="1" x14ac:dyDescent="0.3">
      <c r="A286" s="97">
        <v>42842</v>
      </c>
      <c r="B286" s="95" t="s">
        <v>2127</v>
      </c>
      <c r="C286" s="69" t="s">
        <v>3657</v>
      </c>
      <c r="D286" s="69" t="s">
        <v>3658</v>
      </c>
    </row>
    <row r="287" spans="1:6" s="84" customFormat="1" x14ac:dyDescent="0.3">
      <c r="A287" s="97">
        <v>42842</v>
      </c>
      <c r="B287" s="95" t="s">
        <v>2128</v>
      </c>
      <c r="C287" s="69" t="s">
        <v>3659</v>
      </c>
      <c r="D287" s="69" t="s">
        <v>3660</v>
      </c>
    </row>
    <row r="288" spans="1:6" s="84" customFormat="1" x14ac:dyDescent="0.3">
      <c r="A288" s="97">
        <v>42842</v>
      </c>
      <c r="B288" s="95" t="s">
        <v>2905</v>
      </c>
      <c r="C288" s="69" t="s">
        <v>3045</v>
      </c>
      <c r="D288" s="69" t="s">
        <v>3661</v>
      </c>
    </row>
    <row r="289" spans="1:4" s="84" customFormat="1" x14ac:dyDescent="0.3">
      <c r="A289" s="97">
        <v>42842</v>
      </c>
      <c r="B289" s="95" t="s">
        <v>1793</v>
      </c>
      <c r="C289" s="69" t="s">
        <v>2718</v>
      </c>
      <c r="D289" s="69" t="s">
        <v>3682</v>
      </c>
    </row>
    <row r="290" spans="1:4" s="84" customFormat="1" x14ac:dyDescent="0.3">
      <c r="A290" s="97">
        <v>42842</v>
      </c>
      <c r="B290" s="95" t="s">
        <v>1794</v>
      </c>
      <c r="C290" s="69" t="s">
        <v>2718</v>
      </c>
      <c r="D290" s="69" t="s">
        <v>3683</v>
      </c>
    </row>
    <row r="291" spans="1:4" s="84" customFormat="1" x14ac:dyDescent="0.3">
      <c r="A291" s="97">
        <v>42842</v>
      </c>
      <c r="B291" s="95" t="s">
        <v>67</v>
      </c>
      <c r="C291" s="69" t="s">
        <v>2728</v>
      </c>
      <c r="D291" s="69" t="s">
        <v>3684</v>
      </c>
    </row>
    <row r="292" spans="1:4" s="84" customFormat="1" x14ac:dyDescent="0.3">
      <c r="A292" s="100">
        <v>42842</v>
      </c>
      <c r="B292" s="95" t="s">
        <v>71</v>
      </c>
      <c r="C292" s="69" t="s">
        <v>2728</v>
      </c>
      <c r="D292" s="69" t="s">
        <v>3685</v>
      </c>
    </row>
    <row r="293" spans="1:4" s="84" customFormat="1" x14ac:dyDescent="0.3">
      <c r="A293" s="100">
        <v>42842</v>
      </c>
      <c r="B293" s="95" t="s">
        <v>73</v>
      </c>
      <c r="C293" s="69" t="s">
        <v>75</v>
      </c>
      <c r="D293" s="69" t="s">
        <v>3686</v>
      </c>
    </row>
    <row r="294" spans="1:4" s="84" customFormat="1" x14ac:dyDescent="0.3">
      <c r="A294" s="97">
        <v>42842</v>
      </c>
      <c r="B294" s="95" t="s">
        <v>76</v>
      </c>
      <c r="C294" s="69" t="s">
        <v>75</v>
      </c>
      <c r="D294" s="69" t="s">
        <v>3687</v>
      </c>
    </row>
    <row r="295" spans="1:4" s="84" customFormat="1" x14ac:dyDescent="0.3">
      <c r="A295" s="100">
        <v>42842</v>
      </c>
      <c r="B295" s="95" t="s">
        <v>78</v>
      </c>
      <c r="C295" s="69" t="s">
        <v>2729</v>
      </c>
      <c r="D295" s="69" t="s">
        <v>3688</v>
      </c>
    </row>
    <row r="296" spans="1:4" s="84" customFormat="1" x14ac:dyDescent="0.3">
      <c r="A296" s="100">
        <v>42842</v>
      </c>
      <c r="B296" s="95" t="s">
        <v>81</v>
      </c>
      <c r="C296" s="69" t="s">
        <v>2729</v>
      </c>
      <c r="D296" s="69" t="s">
        <v>3689</v>
      </c>
    </row>
    <row r="297" spans="1:4" s="84" customFormat="1" x14ac:dyDescent="0.3">
      <c r="A297" s="97">
        <v>42842</v>
      </c>
      <c r="B297" s="95" t="s">
        <v>83</v>
      </c>
      <c r="C297" s="69" t="s">
        <v>85</v>
      </c>
      <c r="D297" s="69" t="s">
        <v>3690</v>
      </c>
    </row>
    <row r="298" spans="1:4" s="84" customFormat="1" x14ac:dyDescent="0.3">
      <c r="A298" s="97">
        <v>42842</v>
      </c>
      <c r="B298" s="95" t="s">
        <v>86</v>
      </c>
      <c r="C298" s="69" t="s">
        <v>85</v>
      </c>
      <c r="D298" s="69" t="s">
        <v>3691</v>
      </c>
    </row>
    <row r="299" spans="1:4" s="84" customFormat="1" x14ac:dyDescent="0.3">
      <c r="A299" s="97">
        <v>42842</v>
      </c>
      <c r="B299" s="95" t="s">
        <v>1860</v>
      </c>
      <c r="C299" s="69" t="s">
        <v>85</v>
      </c>
      <c r="D299" s="69" t="s">
        <v>3694</v>
      </c>
    </row>
    <row r="300" spans="1:4" s="84" customFormat="1" x14ac:dyDescent="0.3">
      <c r="A300" s="97">
        <v>42842</v>
      </c>
      <c r="B300" s="95" t="s">
        <v>1883</v>
      </c>
      <c r="C300" s="69" t="s">
        <v>2025</v>
      </c>
      <c r="D300" s="69" t="s">
        <v>3692</v>
      </c>
    </row>
    <row r="301" spans="1:4" s="84" customFormat="1" x14ac:dyDescent="0.3">
      <c r="A301" s="97">
        <v>42842</v>
      </c>
      <c r="B301" s="95" t="s">
        <v>1885</v>
      </c>
      <c r="C301" s="69" t="s">
        <v>2025</v>
      </c>
      <c r="D301" s="69" t="s">
        <v>3693</v>
      </c>
    </row>
    <row r="302" spans="1:4" s="84" customFormat="1" x14ac:dyDescent="0.3">
      <c r="A302" s="97">
        <v>42842</v>
      </c>
      <c r="B302" s="95" t="s">
        <v>1881</v>
      </c>
      <c r="C302" s="69" t="s">
        <v>2025</v>
      </c>
      <c r="D302" s="69" t="s">
        <v>3695</v>
      </c>
    </row>
    <row r="303" spans="1:4" s="84" customFormat="1" x14ac:dyDescent="0.3">
      <c r="A303" s="97">
        <v>42842</v>
      </c>
      <c r="B303" s="95" t="s">
        <v>3470</v>
      </c>
      <c r="C303" s="69" t="s">
        <v>3479</v>
      </c>
      <c r="D303" s="69" t="s">
        <v>3480</v>
      </c>
    </row>
    <row r="304" spans="1:4" s="84" customFormat="1" x14ac:dyDescent="0.3">
      <c r="A304" s="97">
        <v>42842</v>
      </c>
      <c r="B304" s="95" t="s">
        <v>3471</v>
      </c>
      <c r="C304" s="69" t="s">
        <v>3479</v>
      </c>
      <c r="D304" s="69" t="s">
        <v>3480</v>
      </c>
    </row>
    <row r="305" spans="1:8" s="84" customFormat="1" x14ac:dyDescent="0.3">
      <c r="A305" s="97">
        <v>42842</v>
      </c>
      <c r="B305" s="95" t="s">
        <v>3472</v>
      </c>
      <c r="C305" s="69" t="s">
        <v>3479</v>
      </c>
      <c r="D305" s="69" t="s">
        <v>3480</v>
      </c>
    </row>
    <row r="306" spans="1:8" s="84" customFormat="1" x14ac:dyDescent="0.3">
      <c r="A306" s="97">
        <v>42842</v>
      </c>
      <c r="B306" s="95" t="s">
        <v>1982</v>
      </c>
      <c r="C306" s="69" t="s">
        <v>2026</v>
      </c>
      <c r="D306" s="69" t="s">
        <v>3697</v>
      </c>
    </row>
    <row r="307" spans="1:8" s="84" customFormat="1" x14ac:dyDescent="0.3">
      <c r="A307" s="97">
        <v>42842</v>
      </c>
      <c r="B307" s="95" t="s">
        <v>1946</v>
      </c>
      <c r="C307" s="69" t="s">
        <v>2026</v>
      </c>
      <c r="D307" s="69" t="s">
        <v>3697</v>
      </c>
    </row>
    <row r="308" spans="1:8" s="84" customFormat="1" x14ac:dyDescent="0.3">
      <c r="A308" s="97">
        <v>42842</v>
      </c>
      <c r="B308" s="95" t="s">
        <v>1984</v>
      </c>
      <c r="C308" s="69" t="s">
        <v>2026</v>
      </c>
      <c r="D308" s="69" t="s">
        <v>3697</v>
      </c>
    </row>
    <row r="309" spans="1:8" s="84" customFormat="1" x14ac:dyDescent="0.3">
      <c r="A309" s="97">
        <v>42842</v>
      </c>
      <c r="B309" s="95" t="s">
        <v>1948</v>
      </c>
      <c r="C309" s="69" t="s">
        <v>2026</v>
      </c>
      <c r="D309" s="69" t="s">
        <v>3697</v>
      </c>
    </row>
    <row r="310" spans="1:8" s="84" customFormat="1" x14ac:dyDescent="0.3">
      <c r="A310" s="97">
        <v>42842</v>
      </c>
      <c r="B310" s="95" t="s">
        <v>1986</v>
      </c>
      <c r="C310" s="69" t="s">
        <v>2026</v>
      </c>
      <c r="D310" s="69" t="s">
        <v>3697</v>
      </c>
    </row>
    <row r="311" spans="1:8" s="84" customFormat="1" x14ac:dyDescent="0.3">
      <c r="A311" s="97">
        <v>42842</v>
      </c>
      <c r="B311" s="95" t="s">
        <v>1950</v>
      </c>
      <c r="C311" s="69" t="s">
        <v>2026</v>
      </c>
      <c r="D311" s="69" t="s">
        <v>3697</v>
      </c>
    </row>
    <row r="312" spans="1:8" s="84" customFormat="1" x14ac:dyDescent="0.3">
      <c r="A312" s="97">
        <v>42842</v>
      </c>
      <c r="B312" s="95" t="s">
        <v>2473</v>
      </c>
      <c r="C312" s="69" t="s">
        <v>2475</v>
      </c>
      <c r="D312" s="69" t="s">
        <v>3696</v>
      </c>
    </row>
    <row r="313" spans="1:8" x14ac:dyDescent="0.3">
      <c r="A313" s="97">
        <v>42842</v>
      </c>
      <c r="B313" s="95" t="s">
        <v>1988</v>
      </c>
      <c r="C313" s="69" t="s">
        <v>2027</v>
      </c>
      <c r="D313" s="69" t="s">
        <v>3698</v>
      </c>
      <c r="E313" s="84"/>
      <c r="F313" s="84"/>
    </row>
    <row r="314" spans="1:8" x14ac:dyDescent="0.3">
      <c r="A314" s="97">
        <v>42842</v>
      </c>
      <c r="B314" s="95" t="s">
        <v>1952</v>
      </c>
      <c r="C314" s="69" t="s">
        <v>2027</v>
      </c>
      <c r="D314" s="69" t="s">
        <v>3698</v>
      </c>
      <c r="E314" s="84"/>
      <c r="F314" s="84"/>
    </row>
    <row r="315" spans="1:8" x14ac:dyDescent="0.3">
      <c r="A315" s="97">
        <v>42842</v>
      </c>
      <c r="B315" s="95" t="s">
        <v>1990</v>
      </c>
      <c r="C315" s="69" t="s">
        <v>2027</v>
      </c>
      <c r="D315" s="69" t="s">
        <v>3698</v>
      </c>
      <c r="E315" s="84"/>
      <c r="F315" s="84"/>
      <c r="G315" s="84"/>
      <c r="H315" s="84"/>
    </row>
    <row r="316" spans="1:8" x14ac:dyDescent="0.3">
      <c r="A316" s="97">
        <v>42842</v>
      </c>
      <c r="B316" s="95" t="s">
        <v>1954</v>
      </c>
      <c r="C316" s="69" t="s">
        <v>2027</v>
      </c>
      <c r="D316" s="69" t="s">
        <v>3698</v>
      </c>
      <c r="E316" s="84"/>
      <c r="F316" s="84"/>
      <c r="G316" s="84"/>
      <c r="H316" s="84"/>
    </row>
    <row r="317" spans="1:8" x14ac:dyDescent="0.3">
      <c r="A317" s="97">
        <v>42842</v>
      </c>
      <c r="B317" s="95" t="s">
        <v>1992</v>
      </c>
      <c r="C317" s="69" t="s">
        <v>2027</v>
      </c>
      <c r="D317" s="69" t="s">
        <v>3698</v>
      </c>
      <c r="E317" s="84"/>
      <c r="F317" s="84"/>
      <c r="G317" s="84"/>
      <c r="H317" s="84"/>
    </row>
    <row r="318" spans="1:8" x14ac:dyDescent="0.3">
      <c r="A318" s="97">
        <v>42842</v>
      </c>
      <c r="B318" s="95" t="s">
        <v>1956</v>
      </c>
      <c r="C318" s="69" t="s">
        <v>2027</v>
      </c>
      <c r="D318" s="69" t="s">
        <v>3698</v>
      </c>
      <c r="E318" s="84"/>
      <c r="F318" s="84"/>
      <c r="G318" s="84"/>
      <c r="H318" s="84"/>
    </row>
    <row r="319" spans="1:8" x14ac:dyDescent="0.3">
      <c r="A319" s="97">
        <v>42842</v>
      </c>
      <c r="B319" s="95" t="s">
        <v>3699</v>
      </c>
      <c r="C319" s="69" t="s">
        <v>3702</v>
      </c>
      <c r="D319" s="69" t="s">
        <v>3703</v>
      </c>
      <c r="E319" s="84"/>
      <c r="F319" s="84"/>
      <c r="G319" s="84"/>
      <c r="H319" s="84"/>
    </row>
    <row r="320" spans="1:8" x14ac:dyDescent="0.3">
      <c r="A320" s="97">
        <v>42842</v>
      </c>
      <c r="B320" s="95" t="s">
        <v>3700</v>
      </c>
      <c r="C320" s="69" t="s">
        <v>3702</v>
      </c>
      <c r="D320" s="69" t="s">
        <v>3703</v>
      </c>
      <c r="E320" s="84"/>
      <c r="F320" s="84"/>
      <c r="G320" s="84"/>
      <c r="H320" s="84"/>
    </row>
    <row r="321" spans="1:8" x14ac:dyDescent="0.3">
      <c r="A321" s="97">
        <v>42842</v>
      </c>
      <c r="B321" s="95" t="s">
        <v>3701</v>
      </c>
      <c r="C321" s="69" t="s">
        <v>3702</v>
      </c>
      <c r="D321" s="69" t="s">
        <v>3703</v>
      </c>
      <c r="E321" s="84"/>
      <c r="F321" s="84"/>
    </row>
    <row r="322" spans="1:8" x14ac:dyDescent="0.3">
      <c r="A322" s="97">
        <v>42842</v>
      </c>
      <c r="B322" s="95" t="s">
        <v>3473</v>
      </c>
      <c r="C322" s="69" t="s">
        <v>3481</v>
      </c>
      <c r="D322" s="69" t="s">
        <v>3482</v>
      </c>
      <c r="E322" s="84"/>
      <c r="F322" s="84"/>
    </row>
    <row r="323" spans="1:8" x14ac:dyDescent="0.3">
      <c r="A323" s="97">
        <v>42842</v>
      </c>
      <c r="B323" s="95" t="s">
        <v>3474</v>
      </c>
      <c r="C323" s="69" t="s">
        <v>3481</v>
      </c>
      <c r="D323" s="69" t="s">
        <v>3482</v>
      </c>
      <c r="E323" s="84"/>
      <c r="F323" s="84"/>
      <c r="G323" s="84"/>
      <c r="H323" s="84"/>
    </row>
    <row r="324" spans="1:8" s="84" customFormat="1" x14ac:dyDescent="0.3">
      <c r="A324" s="97">
        <v>42842</v>
      </c>
      <c r="B324" s="95" t="s">
        <v>3475</v>
      </c>
      <c r="C324" s="69" t="s">
        <v>3481</v>
      </c>
      <c r="D324" s="69" t="s">
        <v>3482</v>
      </c>
    </row>
    <row r="325" spans="1:8" s="84" customFormat="1" x14ac:dyDescent="0.3">
      <c r="A325" s="97">
        <v>42842</v>
      </c>
      <c r="B325" s="95" t="s">
        <v>3476</v>
      </c>
      <c r="C325" s="69" t="s">
        <v>3483</v>
      </c>
      <c r="D325" s="69" t="s">
        <v>3484</v>
      </c>
    </row>
    <row r="326" spans="1:8" s="84" customFormat="1" x14ac:dyDescent="0.3">
      <c r="A326" s="97">
        <v>42842</v>
      </c>
      <c r="B326" s="95" t="s">
        <v>3477</v>
      </c>
      <c r="C326" s="69" t="s">
        <v>3483</v>
      </c>
      <c r="D326" s="69" t="s">
        <v>3484</v>
      </c>
    </row>
    <row r="327" spans="1:8" s="84" customFormat="1" x14ac:dyDescent="0.3">
      <c r="A327" s="97">
        <v>42842</v>
      </c>
      <c r="B327" s="95" t="s">
        <v>3478</v>
      </c>
      <c r="C327" s="69" t="s">
        <v>3483</v>
      </c>
      <c r="D327" s="69" t="s">
        <v>3484</v>
      </c>
    </row>
    <row r="328" spans="1:8" s="84" customFormat="1" x14ac:dyDescent="0.3">
      <c r="A328" s="97">
        <v>42842</v>
      </c>
      <c r="B328" s="95" t="s">
        <v>1940</v>
      </c>
      <c r="C328" s="69" t="s">
        <v>451</v>
      </c>
      <c r="D328" s="69" t="s">
        <v>3708</v>
      </c>
    </row>
    <row r="329" spans="1:8" s="84" customFormat="1" x14ac:dyDescent="0.3">
      <c r="A329" s="97">
        <v>42842</v>
      </c>
      <c r="B329" s="95" t="s">
        <v>449</v>
      </c>
      <c r="C329" s="69" t="s">
        <v>451</v>
      </c>
      <c r="D329" s="69" t="s">
        <v>3708</v>
      </c>
    </row>
    <row r="330" spans="1:8" s="84" customFormat="1" x14ac:dyDescent="0.3">
      <c r="A330" s="97">
        <v>42842</v>
      </c>
      <c r="B330" s="95" t="s">
        <v>3704</v>
      </c>
      <c r="C330" s="69" t="s">
        <v>3706</v>
      </c>
      <c r="D330" s="69" t="s">
        <v>3709</v>
      </c>
    </row>
    <row r="331" spans="1:8" s="84" customFormat="1" x14ac:dyDescent="0.3">
      <c r="A331" s="97">
        <v>42842</v>
      </c>
      <c r="B331" s="95" t="s">
        <v>3705</v>
      </c>
      <c r="C331" s="69" t="s">
        <v>3707</v>
      </c>
      <c r="D331" s="69" t="s">
        <v>3710</v>
      </c>
    </row>
    <row r="332" spans="1:8" s="84" customFormat="1" x14ac:dyDescent="0.3">
      <c r="A332" s="97">
        <v>42842</v>
      </c>
      <c r="B332" s="95" t="s">
        <v>359</v>
      </c>
      <c r="C332" s="69" t="s">
        <v>3328</v>
      </c>
      <c r="D332" s="69" t="s">
        <v>3662</v>
      </c>
    </row>
    <row r="333" spans="1:8" s="84" customFormat="1" x14ac:dyDescent="0.3">
      <c r="A333" s="97">
        <v>42842</v>
      </c>
      <c r="B333" s="95" t="s">
        <v>986</v>
      </c>
      <c r="C333" s="69" t="s">
        <v>3105</v>
      </c>
      <c r="D333" s="69" t="s">
        <v>3711</v>
      </c>
    </row>
    <row r="334" spans="1:8" s="84" customFormat="1" x14ac:dyDescent="0.3">
      <c r="A334" s="97">
        <v>42842</v>
      </c>
      <c r="B334" s="95" t="s">
        <v>989</v>
      </c>
      <c r="C334" s="69" t="s">
        <v>3105</v>
      </c>
      <c r="D334" s="69" t="s">
        <v>3712</v>
      </c>
    </row>
    <row r="335" spans="1:8" s="84" customFormat="1" x14ac:dyDescent="0.3">
      <c r="A335" s="97">
        <v>42842</v>
      </c>
      <c r="B335" s="95" t="s">
        <v>3111</v>
      </c>
      <c r="C335" s="69" t="s">
        <v>3112</v>
      </c>
      <c r="D335" s="69" t="s">
        <v>3113</v>
      </c>
    </row>
    <row r="336" spans="1:8" s="84" customFormat="1" x14ac:dyDescent="0.3">
      <c r="A336" s="97">
        <v>42842</v>
      </c>
      <c r="B336" s="95" t="s">
        <v>3449</v>
      </c>
      <c r="C336" s="69" t="s">
        <v>3541</v>
      </c>
      <c r="D336" s="69" t="s">
        <v>3543</v>
      </c>
    </row>
    <row r="337" spans="1:8" s="84" customFormat="1" x14ac:dyDescent="0.3">
      <c r="A337" s="97">
        <v>42842</v>
      </c>
      <c r="B337" s="95" t="s">
        <v>3460</v>
      </c>
      <c r="C337" s="69" t="s">
        <v>3542</v>
      </c>
      <c r="D337" s="69" t="s">
        <v>3543</v>
      </c>
    </row>
    <row r="338" spans="1:8" s="84" customFormat="1" x14ac:dyDescent="0.3">
      <c r="A338" s="97">
        <v>42871</v>
      </c>
      <c r="B338" s="95" t="s">
        <v>3790</v>
      </c>
      <c r="C338" s="69" t="s">
        <v>3820</v>
      </c>
      <c r="D338" s="69" t="s">
        <v>3856</v>
      </c>
    </row>
    <row r="339" spans="1:8" s="84" customFormat="1" x14ac:dyDescent="0.3">
      <c r="A339" s="97">
        <v>42871</v>
      </c>
      <c r="B339" s="95" t="s">
        <v>3792</v>
      </c>
      <c r="C339" s="69" t="s">
        <v>3821</v>
      </c>
      <c r="D339" s="69" t="s">
        <v>3856</v>
      </c>
    </row>
    <row r="340" spans="1:8" s="84" customFormat="1" x14ac:dyDescent="0.3">
      <c r="A340" s="97">
        <v>42871</v>
      </c>
      <c r="B340" s="95" t="s">
        <v>3794</v>
      </c>
      <c r="C340" s="69" t="s">
        <v>3822</v>
      </c>
      <c r="D340" s="69" t="s">
        <v>3856</v>
      </c>
    </row>
    <row r="341" spans="1:8" s="84" customFormat="1" x14ac:dyDescent="0.3">
      <c r="A341" s="97">
        <v>42871</v>
      </c>
      <c r="B341" s="95" t="s">
        <v>3778</v>
      </c>
      <c r="C341" s="69" t="s">
        <v>3814</v>
      </c>
      <c r="D341" s="69" t="s">
        <v>3857</v>
      </c>
    </row>
    <row r="342" spans="1:8" s="84" customFormat="1" x14ac:dyDescent="0.3">
      <c r="A342" s="97">
        <v>42871</v>
      </c>
      <c r="B342" s="95" t="s">
        <v>3780</v>
      </c>
      <c r="C342" s="69" t="s">
        <v>3815</v>
      </c>
      <c r="D342" s="69" t="s">
        <v>3857</v>
      </c>
    </row>
    <row r="343" spans="1:8" s="84" customFormat="1" x14ac:dyDescent="0.3">
      <c r="A343" s="97">
        <v>42871</v>
      </c>
      <c r="B343" s="95" t="s">
        <v>3782</v>
      </c>
      <c r="C343" s="69" t="s">
        <v>3816</v>
      </c>
      <c r="D343" s="69" t="s">
        <v>3857</v>
      </c>
    </row>
    <row r="344" spans="1:8" s="84" customFormat="1" x14ac:dyDescent="0.3">
      <c r="A344" s="97">
        <v>42871</v>
      </c>
      <c r="B344" s="95" t="s">
        <v>3784</v>
      </c>
      <c r="C344" s="69" t="s">
        <v>3817</v>
      </c>
      <c r="D344" s="69" t="s">
        <v>3858</v>
      </c>
      <c r="G344" s="7"/>
      <c r="H344"/>
    </row>
    <row r="345" spans="1:8" s="84" customFormat="1" x14ac:dyDescent="0.3">
      <c r="A345" s="97">
        <v>42871</v>
      </c>
      <c r="B345" s="95" t="s">
        <v>3786</v>
      </c>
      <c r="C345" s="69" t="s">
        <v>3818</v>
      </c>
      <c r="D345" s="69" t="s">
        <v>3858</v>
      </c>
      <c r="G345" s="7"/>
      <c r="H345"/>
    </row>
    <row r="346" spans="1:8" s="84" customFormat="1" x14ac:dyDescent="0.3">
      <c r="A346" s="97">
        <v>42871</v>
      </c>
      <c r="B346" s="95" t="s">
        <v>3788</v>
      </c>
      <c r="C346" s="69" t="s">
        <v>3819</v>
      </c>
      <c r="D346" s="69" t="s">
        <v>3858</v>
      </c>
      <c r="G346" s="7"/>
      <c r="H346"/>
    </row>
    <row r="347" spans="1:8" s="84" customFormat="1" x14ac:dyDescent="0.3">
      <c r="A347" s="97">
        <v>42871</v>
      </c>
      <c r="B347" s="95" t="s">
        <v>3808</v>
      </c>
      <c r="C347" s="69" t="s">
        <v>3829</v>
      </c>
      <c r="D347" s="69" t="s">
        <v>3859</v>
      </c>
      <c r="G347" s="7"/>
      <c r="H347"/>
    </row>
    <row r="348" spans="1:8" s="84" customFormat="1" x14ac:dyDescent="0.3">
      <c r="A348" s="97">
        <v>42871</v>
      </c>
      <c r="B348" s="95" t="s">
        <v>3810</v>
      </c>
      <c r="C348" s="69" t="s">
        <v>3830</v>
      </c>
      <c r="D348" s="69" t="s">
        <v>3859</v>
      </c>
      <c r="G348" s="7"/>
      <c r="H348"/>
    </row>
    <row r="349" spans="1:8" s="84" customFormat="1" x14ac:dyDescent="0.3">
      <c r="A349" s="97">
        <v>42871</v>
      </c>
      <c r="B349" s="95" t="s">
        <v>3812</v>
      </c>
      <c r="C349" s="69" t="s">
        <v>3831</v>
      </c>
      <c r="D349" s="69" t="s">
        <v>3859</v>
      </c>
      <c r="G349" s="7"/>
      <c r="H349"/>
    </row>
    <row r="350" spans="1:8" s="84" customFormat="1" x14ac:dyDescent="0.3">
      <c r="A350" s="97">
        <v>42871</v>
      </c>
      <c r="B350" s="95" t="s">
        <v>3796</v>
      </c>
      <c r="C350" s="69" t="s">
        <v>3823</v>
      </c>
      <c r="D350" s="69" t="s">
        <v>3860</v>
      </c>
      <c r="G350" s="7"/>
      <c r="H350"/>
    </row>
    <row r="351" spans="1:8" s="84" customFormat="1" x14ac:dyDescent="0.3">
      <c r="A351" s="97">
        <v>42871</v>
      </c>
      <c r="B351" s="95" t="s">
        <v>3798</v>
      </c>
      <c r="C351" s="69" t="s">
        <v>3824</v>
      </c>
      <c r="D351" s="69" t="s">
        <v>3860</v>
      </c>
    </row>
    <row r="352" spans="1:8" s="84" customFormat="1" x14ac:dyDescent="0.3">
      <c r="A352" s="97">
        <v>42871</v>
      </c>
      <c r="B352" s="95" t="s">
        <v>3800</v>
      </c>
      <c r="C352" s="69" t="s">
        <v>3825</v>
      </c>
      <c r="D352" s="69" t="s">
        <v>3860</v>
      </c>
    </row>
    <row r="353" spans="1:6" s="84" customFormat="1" x14ac:dyDescent="0.3">
      <c r="A353" s="97">
        <v>42871</v>
      </c>
      <c r="B353" s="95" t="s">
        <v>3802</v>
      </c>
      <c r="C353" s="69" t="s">
        <v>3826</v>
      </c>
      <c r="D353" s="69" t="s">
        <v>3861</v>
      </c>
    </row>
    <row r="354" spans="1:6" s="84" customFormat="1" x14ac:dyDescent="0.3">
      <c r="A354" s="97">
        <v>42871</v>
      </c>
      <c r="B354" s="95" t="s">
        <v>3804</v>
      </c>
      <c r="C354" s="69" t="s">
        <v>3827</v>
      </c>
      <c r="D354" s="69" t="s">
        <v>3861</v>
      </c>
    </row>
    <row r="355" spans="1:6" s="84" customFormat="1" x14ac:dyDescent="0.3">
      <c r="A355" s="97">
        <v>42871</v>
      </c>
      <c r="B355" s="95" t="s">
        <v>3806</v>
      </c>
      <c r="C355" s="69" t="s">
        <v>3828</v>
      </c>
      <c r="D355" s="69" t="s">
        <v>3861</v>
      </c>
    </row>
    <row r="356" spans="1:6" s="84" customFormat="1" x14ac:dyDescent="0.3">
      <c r="A356" s="97"/>
      <c r="B356"/>
      <c r="C356"/>
      <c r="D356"/>
      <c r="E356"/>
      <c r="F356"/>
    </row>
    <row r="357" spans="1:6" s="84" customFormat="1" x14ac:dyDescent="0.3">
      <c r="A357" s="99" t="s">
        <v>3836</v>
      </c>
      <c r="B357" s="5" t="str">
        <f>"Change in source ("&amp;COUNTA(B358:B418)&amp;")"</f>
        <v>Change in source (60)</v>
      </c>
      <c r="C357" s="5" t="s">
        <v>307</v>
      </c>
      <c r="D357" s="5" t="s">
        <v>308</v>
      </c>
      <c r="E357"/>
      <c r="F357"/>
    </row>
    <row r="358" spans="1:6" s="84" customFormat="1" x14ac:dyDescent="0.3">
      <c r="A358" s="97">
        <v>42842</v>
      </c>
      <c r="B358" s="95" t="s">
        <v>2599</v>
      </c>
      <c r="C358" s="69" t="s">
        <v>2663</v>
      </c>
      <c r="D358" s="69" t="s">
        <v>3673</v>
      </c>
    </row>
    <row r="359" spans="1:6" s="84" customFormat="1" x14ac:dyDescent="0.3">
      <c r="A359" s="97">
        <v>42842</v>
      </c>
      <c r="B359" s="95" t="s">
        <v>2293</v>
      </c>
      <c r="C359" s="69" t="s">
        <v>2299</v>
      </c>
      <c r="D359" s="69" t="s">
        <v>3673</v>
      </c>
    </row>
    <row r="360" spans="1:6" s="84" customFormat="1" x14ac:dyDescent="0.3">
      <c r="A360" s="97">
        <v>42842</v>
      </c>
      <c r="B360" s="95" t="s">
        <v>2292</v>
      </c>
      <c r="C360" s="69" t="s">
        <v>2301</v>
      </c>
      <c r="D360" s="69" t="s">
        <v>3673</v>
      </c>
    </row>
    <row r="361" spans="1:6" s="84" customFormat="1" x14ac:dyDescent="0.3">
      <c r="A361" s="97">
        <v>42842</v>
      </c>
      <c r="B361" s="95" t="s">
        <v>1275</v>
      </c>
      <c r="C361" s="69" t="s">
        <v>2301</v>
      </c>
      <c r="D361" s="69" t="s">
        <v>3673</v>
      </c>
    </row>
    <row r="362" spans="1:6" s="84" customFormat="1" x14ac:dyDescent="0.3">
      <c r="A362" s="97">
        <v>42842</v>
      </c>
      <c r="B362" s="95" t="s">
        <v>2600</v>
      </c>
      <c r="C362" s="69" t="s">
        <v>2663</v>
      </c>
      <c r="D362" s="69" t="s">
        <v>3673</v>
      </c>
    </row>
    <row r="363" spans="1:6" s="84" customFormat="1" x14ac:dyDescent="0.3">
      <c r="A363" s="97">
        <v>42842</v>
      </c>
      <c r="B363" s="95" t="s">
        <v>2601</v>
      </c>
      <c r="C363" s="69" t="s">
        <v>2663</v>
      </c>
      <c r="D363" s="69" t="s">
        <v>3673</v>
      </c>
    </row>
    <row r="364" spans="1:6" s="84" customFormat="1" x14ac:dyDescent="0.3">
      <c r="A364" s="97">
        <v>42842</v>
      </c>
      <c r="B364" t="s">
        <v>1553</v>
      </c>
      <c r="C364" t="s">
        <v>2116</v>
      </c>
      <c r="D364" t="s">
        <v>3117</v>
      </c>
      <c r="E364"/>
      <c r="F364"/>
    </row>
    <row r="365" spans="1:6" s="84" customFormat="1" x14ac:dyDescent="0.3">
      <c r="A365" s="97">
        <v>42842</v>
      </c>
      <c r="B365" t="s">
        <v>2131</v>
      </c>
      <c r="C365" t="s">
        <v>2116</v>
      </c>
      <c r="D365" t="s">
        <v>3117</v>
      </c>
      <c r="E365"/>
      <c r="F365"/>
    </row>
    <row r="366" spans="1:6" s="84" customFormat="1" x14ac:dyDescent="0.3">
      <c r="A366" s="97">
        <v>42842</v>
      </c>
      <c r="B366" s="95" t="s">
        <v>1946</v>
      </c>
      <c r="C366" s="69" t="s">
        <v>436</v>
      </c>
      <c r="D366" s="69" t="s">
        <v>3713</v>
      </c>
    </row>
    <row r="367" spans="1:6" s="84" customFormat="1" x14ac:dyDescent="0.3">
      <c r="A367" s="97">
        <v>42842</v>
      </c>
      <c r="B367" s="95" t="s">
        <v>1948</v>
      </c>
      <c r="C367" s="69" t="s">
        <v>436</v>
      </c>
      <c r="D367" s="69" t="s">
        <v>3713</v>
      </c>
    </row>
    <row r="368" spans="1:6" s="84" customFormat="1" x14ac:dyDescent="0.3">
      <c r="A368" s="97">
        <v>42842</v>
      </c>
      <c r="B368" s="95" t="s">
        <v>1950</v>
      </c>
      <c r="C368" s="69" t="s">
        <v>436</v>
      </c>
      <c r="D368" s="69" t="s">
        <v>3713</v>
      </c>
    </row>
    <row r="369" spans="1:6" s="84" customFormat="1" x14ac:dyDescent="0.3">
      <c r="A369" s="97">
        <v>42842</v>
      </c>
      <c r="B369" s="95" t="s">
        <v>2473</v>
      </c>
      <c r="C369" s="69" t="s">
        <v>436</v>
      </c>
      <c r="D369" s="69" t="s">
        <v>3714</v>
      </c>
    </row>
    <row r="370" spans="1:6" s="84" customFormat="1" x14ac:dyDescent="0.3">
      <c r="A370" s="97">
        <v>42842</v>
      </c>
      <c r="B370" s="95" t="s">
        <v>1952</v>
      </c>
      <c r="C370" s="69" t="s">
        <v>436</v>
      </c>
      <c r="D370" s="69" t="s">
        <v>3713</v>
      </c>
    </row>
    <row r="371" spans="1:6" s="84" customFormat="1" x14ac:dyDescent="0.3">
      <c r="A371" s="97">
        <v>42842</v>
      </c>
      <c r="B371" s="95" t="s">
        <v>1954</v>
      </c>
      <c r="C371" s="69" t="s">
        <v>436</v>
      </c>
      <c r="D371" s="69" t="s">
        <v>3713</v>
      </c>
    </row>
    <row r="372" spans="1:6" s="84" customFormat="1" x14ac:dyDescent="0.3">
      <c r="A372" s="97">
        <v>42842</v>
      </c>
      <c r="B372" s="95" t="s">
        <v>1956</v>
      </c>
      <c r="C372" s="69" t="s">
        <v>436</v>
      </c>
      <c r="D372" s="69" t="s">
        <v>3713</v>
      </c>
    </row>
    <row r="373" spans="1:6" s="84" customFormat="1" x14ac:dyDescent="0.3">
      <c r="A373" s="97">
        <v>42842</v>
      </c>
      <c r="B373" s="95" t="s">
        <v>2821</v>
      </c>
      <c r="C373" s="69" t="s">
        <v>436</v>
      </c>
      <c r="D373" s="69" t="s">
        <v>3713</v>
      </c>
    </row>
    <row r="374" spans="1:6" s="84" customFormat="1" x14ac:dyDescent="0.3">
      <c r="A374" s="100">
        <v>42842</v>
      </c>
      <c r="B374" s="95" t="s">
        <v>433</v>
      </c>
      <c r="C374" s="69" t="s">
        <v>436</v>
      </c>
      <c r="D374" s="69" t="s">
        <v>3713</v>
      </c>
    </row>
    <row r="375" spans="1:6" x14ac:dyDescent="0.3">
      <c r="A375" s="100">
        <v>42842</v>
      </c>
      <c r="B375" s="95" t="s">
        <v>438</v>
      </c>
      <c r="C375" s="69" t="s">
        <v>436</v>
      </c>
      <c r="D375" s="69" t="s">
        <v>3713</v>
      </c>
      <c r="E375" s="84"/>
      <c r="F375" s="84"/>
    </row>
    <row r="376" spans="1:6" x14ac:dyDescent="0.3">
      <c r="A376" s="97">
        <v>42842</v>
      </c>
      <c r="B376" s="95" t="s">
        <v>440</v>
      </c>
      <c r="C376" s="69" t="s">
        <v>436</v>
      </c>
      <c r="D376" s="69" t="s">
        <v>3713</v>
      </c>
      <c r="E376" s="84"/>
      <c r="F376" s="84"/>
    </row>
    <row r="377" spans="1:6" x14ac:dyDescent="0.3">
      <c r="A377" s="97">
        <v>42842</v>
      </c>
      <c r="B377" s="95" t="s">
        <v>1528</v>
      </c>
      <c r="C377" s="69" t="s">
        <v>436</v>
      </c>
      <c r="D377" s="69" t="s">
        <v>3713</v>
      </c>
      <c r="E377" s="84"/>
      <c r="F377" s="84"/>
    </row>
    <row r="378" spans="1:6" x14ac:dyDescent="0.3">
      <c r="A378" s="97">
        <v>42842</v>
      </c>
      <c r="B378" s="95" t="s">
        <v>449</v>
      </c>
      <c r="C378" s="69" t="s">
        <v>436</v>
      </c>
      <c r="D378" s="69" t="s">
        <v>3713</v>
      </c>
      <c r="E378" s="84"/>
      <c r="F378" s="84"/>
    </row>
    <row r="379" spans="1:6" x14ac:dyDescent="0.3">
      <c r="A379" s="97">
        <v>42842</v>
      </c>
      <c r="B379" s="95" t="s">
        <v>1529</v>
      </c>
      <c r="C379" s="69" t="s">
        <v>436</v>
      </c>
      <c r="D379" s="69" t="s">
        <v>3713</v>
      </c>
      <c r="E379" s="84"/>
      <c r="F379" s="84"/>
    </row>
    <row r="380" spans="1:6" x14ac:dyDescent="0.3">
      <c r="A380" s="97">
        <v>42842</v>
      </c>
      <c r="B380" s="95" t="s">
        <v>1530</v>
      </c>
      <c r="C380" s="69" t="s">
        <v>436</v>
      </c>
      <c r="D380" s="69" t="s">
        <v>3713</v>
      </c>
      <c r="E380" s="84"/>
      <c r="F380" s="84"/>
    </row>
    <row r="381" spans="1:6" x14ac:dyDescent="0.3">
      <c r="A381" s="97">
        <v>42842</v>
      </c>
      <c r="B381" s="95" t="s">
        <v>1911</v>
      </c>
      <c r="C381" s="69" t="s">
        <v>436</v>
      </c>
      <c r="D381" s="69" t="s">
        <v>3713</v>
      </c>
      <c r="E381" s="84"/>
      <c r="F381" s="84"/>
    </row>
    <row r="382" spans="1:6" x14ac:dyDescent="0.3">
      <c r="A382" s="97">
        <v>42842</v>
      </c>
      <c r="B382" s="95" t="s">
        <v>1914</v>
      </c>
      <c r="C382" s="69" t="s">
        <v>436</v>
      </c>
      <c r="D382" s="69" t="s">
        <v>3713</v>
      </c>
      <c r="E382" s="84"/>
      <c r="F382" s="84"/>
    </row>
    <row r="383" spans="1:6" x14ac:dyDescent="0.3">
      <c r="A383" s="97">
        <v>42842</v>
      </c>
      <c r="B383" s="95" t="s">
        <v>1917</v>
      </c>
      <c r="C383" s="69" t="s">
        <v>436</v>
      </c>
      <c r="D383" s="69" t="s">
        <v>3713</v>
      </c>
      <c r="E383" s="84"/>
      <c r="F383" s="84"/>
    </row>
    <row r="384" spans="1:6" x14ac:dyDescent="0.3">
      <c r="A384" s="97">
        <v>42842</v>
      </c>
      <c r="B384" s="95" t="s">
        <v>1902</v>
      </c>
      <c r="C384" s="69" t="s">
        <v>436</v>
      </c>
      <c r="D384" s="69" t="s">
        <v>3713</v>
      </c>
      <c r="E384" s="84"/>
      <c r="F384" s="84"/>
    </row>
    <row r="385" spans="1:6" x14ac:dyDescent="0.3">
      <c r="A385" s="97">
        <v>42842</v>
      </c>
      <c r="B385" s="95" t="s">
        <v>1905</v>
      </c>
      <c r="C385" s="69" t="s">
        <v>436</v>
      </c>
      <c r="D385" s="69" t="s">
        <v>3713</v>
      </c>
      <c r="E385" s="84"/>
      <c r="F385" s="84"/>
    </row>
    <row r="386" spans="1:6" x14ac:dyDescent="0.3">
      <c r="A386" s="97">
        <v>42842</v>
      </c>
      <c r="B386" s="95" t="s">
        <v>1908</v>
      </c>
      <c r="C386" s="69" t="s">
        <v>436</v>
      </c>
      <c r="D386" s="69" t="s">
        <v>3713</v>
      </c>
      <c r="E386" s="84"/>
      <c r="F386" s="84"/>
    </row>
    <row r="387" spans="1:6" x14ac:dyDescent="0.3">
      <c r="A387" s="97">
        <v>42842</v>
      </c>
      <c r="B387" t="s">
        <v>1006</v>
      </c>
      <c r="C387" t="s">
        <v>3116</v>
      </c>
      <c r="D387" t="s">
        <v>3663</v>
      </c>
    </row>
    <row r="388" spans="1:6" x14ac:dyDescent="0.3">
      <c r="A388" s="97">
        <v>42842</v>
      </c>
      <c r="B388" t="s">
        <v>304</v>
      </c>
      <c r="C388" t="s">
        <v>3116</v>
      </c>
      <c r="D388" t="s">
        <v>3663</v>
      </c>
    </row>
    <row r="389" spans="1:6" x14ac:dyDescent="0.3">
      <c r="A389" s="97">
        <v>42842</v>
      </c>
      <c r="B389" t="s">
        <v>676</v>
      </c>
      <c r="C389" t="s">
        <v>3116</v>
      </c>
      <c r="D389" t="s">
        <v>3663</v>
      </c>
    </row>
    <row r="390" spans="1:6" x14ac:dyDescent="0.3">
      <c r="A390" s="97">
        <v>42842</v>
      </c>
      <c r="B390" t="s">
        <v>368</v>
      </c>
      <c r="C390" t="s">
        <v>3664</v>
      </c>
      <c r="D390" t="s">
        <v>3116</v>
      </c>
    </row>
    <row r="391" spans="1:6" x14ac:dyDescent="0.3">
      <c r="A391" s="97">
        <v>42842</v>
      </c>
      <c r="B391" t="s">
        <v>371</v>
      </c>
      <c r="C391" t="s">
        <v>3664</v>
      </c>
      <c r="D391" t="s">
        <v>3116</v>
      </c>
    </row>
    <row r="392" spans="1:6" x14ac:dyDescent="0.3">
      <c r="A392" s="97">
        <v>42842</v>
      </c>
      <c r="B392" t="s">
        <v>372</v>
      </c>
      <c r="C392" t="s">
        <v>3664</v>
      </c>
      <c r="D392" t="s">
        <v>3116</v>
      </c>
    </row>
    <row r="393" spans="1:6" x14ac:dyDescent="0.3">
      <c r="A393" s="97">
        <v>42842</v>
      </c>
      <c r="B393" t="s">
        <v>679</v>
      </c>
      <c r="C393" t="s">
        <v>3118</v>
      </c>
      <c r="D393" t="s">
        <v>3663</v>
      </c>
    </row>
    <row r="394" spans="1:6" x14ac:dyDescent="0.3">
      <c r="A394" s="97">
        <v>42842</v>
      </c>
      <c r="B394" s="95" t="s">
        <v>3442</v>
      </c>
      <c r="C394" s="69" t="s">
        <v>3443</v>
      </c>
      <c r="D394" s="69" t="s">
        <v>3444</v>
      </c>
      <c r="E394" s="84"/>
      <c r="F394" s="84"/>
    </row>
    <row r="395" spans="1:6" x14ac:dyDescent="0.3">
      <c r="A395" s="97">
        <v>42842</v>
      </c>
      <c r="B395" s="95" t="s">
        <v>3445</v>
      </c>
      <c r="C395" s="69" t="s">
        <v>3443</v>
      </c>
      <c r="D395" s="69" t="s">
        <v>3444</v>
      </c>
      <c r="E395" s="84"/>
      <c r="F395" s="84"/>
    </row>
    <row r="396" spans="1:6" x14ac:dyDescent="0.3">
      <c r="A396" s="97">
        <v>42842</v>
      </c>
      <c r="B396" s="95" t="s">
        <v>3446</v>
      </c>
      <c r="C396" s="69" t="s">
        <v>3443</v>
      </c>
      <c r="D396" s="69" t="s">
        <v>3444</v>
      </c>
      <c r="E396" s="84"/>
      <c r="F396" s="84"/>
    </row>
    <row r="397" spans="1:6" x14ac:dyDescent="0.3">
      <c r="A397" s="97">
        <v>42842</v>
      </c>
      <c r="B397" s="95" t="s">
        <v>3447</v>
      </c>
      <c r="C397" s="69" t="s">
        <v>3443</v>
      </c>
      <c r="D397" s="69" t="s">
        <v>3444</v>
      </c>
      <c r="E397" s="84"/>
      <c r="F397" s="84"/>
    </row>
    <row r="398" spans="1:6" x14ac:dyDescent="0.3">
      <c r="A398" s="97">
        <v>42842</v>
      </c>
      <c r="B398" s="95" t="s">
        <v>3448</v>
      </c>
      <c r="C398" s="69" t="s">
        <v>3443</v>
      </c>
      <c r="D398" s="69" t="s">
        <v>3444</v>
      </c>
      <c r="E398" s="84"/>
      <c r="F398" s="84"/>
    </row>
    <row r="399" spans="1:6" x14ac:dyDescent="0.3">
      <c r="A399" s="97">
        <v>42842</v>
      </c>
      <c r="B399" s="95" t="s">
        <v>3449</v>
      </c>
      <c r="C399" s="69" t="s">
        <v>3443</v>
      </c>
      <c r="D399" s="69" t="s">
        <v>3444</v>
      </c>
      <c r="E399" s="84"/>
      <c r="F399" s="84"/>
    </row>
    <row r="400" spans="1:6" x14ac:dyDescent="0.3">
      <c r="A400" s="97">
        <v>42842</v>
      </c>
      <c r="B400" s="95" t="s">
        <v>3450</v>
      </c>
      <c r="C400" s="69" t="s">
        <v>3443</v>
      </c>
      <c r="D400" s="69" t="s">
        <v>3444</v>
      </c>
      <c r="E400" s="84"/>
      <c r="F400" s="84"/>
    </row>
    <row r="401" spans="1:6" x14ac:dyDescent="0.3">
      <c r="A401" s="97">
        <v>42842</v>
      </c>
      <c r="B401" s="95" t="s">
        <v>3451</v>
      </c>
      <c r="C401" s="69" t="s">
        <v>3443</v>
      </c>
      <c r="D401" s="69" t="s">
        <v>3444</v>
      </c>
      <c r="E401" s="84"/>
      <c r="F401" s="84"/>
    </row>
    <row r="402" spans="1:6" x14ac:dyDescent="0.3">
      <c r="A402" s="97">
        <v>42842</v>
      </c>
      <c r="B402" s="95" t="s">
        <v>3452</v>
      </c>
      <c r="C402" s="69" t="s">
        <v>3443</v>
      </c>
      <c r="D402" s="69" t="s">
        <v>3444</v>
      </c>
      <c r="E402" s="84"/>
      <c r="F402" s="84"/>
    </row>
    <row r="403" spans="1:6" x14ac:dyDescent="0.3">
      <c r="A403" s="97">
        <v>42842</v>
      </c>
      <c r="B403" s="95" t="s">
        <v>3453</v>
      </c>
      <c r="C403" s="69" t="s">
        <v>3443</v>
      </c>
      <c r="D403" s="69" t="s">
        <v>3444</v>
      </c>
      <c r="E403" s="84"/>
      <c r="F403" s="84"/>
    </row>
    <row r="404" spans="1:6" x14ac:dyDescent="0.3">
      <c r="A404" s="97">
        <v>42842</v>
      </c>
      <c r="B404" s="95" t="s">
        <v>3454</v>
      </c>
      <c r="C404" s="69" t="s">
        <v>3444</v>
      </c>
      <c r="D404" s="69" t="s">
        <v>3444</v>
      </c>
      <c r="E404" s="84"/>
      <c r="F404" s="84"/>
    </row>
    <row r="405" spans="1:6" x14ac:dyDescent="0.3">
      <c r="A405" s="97">
        <v>42842</v>
      </c>
      <c r="B405" s="95" t="s">
        <v>3455</v>
      </c>
      <c r="C405" s="69" t="s">
        <v>3444</v>
      </c>
      <c r="D405" s="69" t="s">
        <v>3444</v>
      </c>
      <c r="E405" s="84"/>
      <c r="F405" s="84"/>
    </row>
    <row r="406" spans="1:6" x14ac:dyDescent="0.3">
      <c r="A406" s="97">
        <v>42842</v>
      </c>
      <c r="B406" s="95" t="s">
        <v>3456</v>
      </c>
      <c r="C406" s="69" t="s">
        <v>3444</v>
      </c>
      <c r="D406" s="69" t="s">
        <v>3444</v>
      </c>
      <c r="E406" s="84"/>
      <c r="F406" s="84"/>
    </row>
    <row r="407" spans="1:6" x14ac:dyDescent="0.3">
      <c r="A407" s="97">
        <v>42842</v>
      </c>
      <c r="B407" s="95" t="s">
        <v>3457</v>
      </c>
      <c r="C407" s="69" t="s">
        <v>3444</v>
      </c>
      <c r="D407" s="69" t="s">
        <v>3444</v>
      </c>
      <c r="E407" s="84"/>
      <c r="F407" s="84"/>
    </row>
    <row r="408" spans="1:6" x14ac:dyDescent="0.3">
      <c r="A408" s="97">
        <v>42842</v>
      </c>
      <c r="B408" s="95" t="s">
        <v>3458</v>
      </c>
      <c r="C408" s="69" t="s">
        <v>3444</v>
      </c>
      <c r="D408" s="69" t="s">
        <v>3444</v>
      </c>
      <c r="E408" s="84"/>
      <c r="F408" s="84"/>
    </row>
    <row r="409" spans="1:6" x14ac:dyDescent="0.3">
      <c r="A409" s="97">
        <v>42842</v>
      </c>
      <c r="B409" s="95" t="s">
        <v>3459</v>
      </c>
      <c r="C409" s="69" t="s">
        <v>3444</v>
      </c>
      <c r="D409" s="69" t="s">
        <v>3444</v>
      </c>
      <c r="E409" s="84"/>
      <c r="F409" s="84"/>
    </row>
    <row r="410" spans="1:6" x14ac:dyDescent="0.3">
      <c r="A410" s="97">
        <v>42842</v>
      </c>
      <c r="B410" s="95" t="s">
        <v>3460</v>
      </c>
      <c r="C410" s="69" t="s">
        <v>3444</v>
      </c>
      <c r="D410" s="69" t="s">
        <v>3444</v>
      </c>
      <c r="E410" s="84"/>
      <c r="F410" s="84"/>
    </row>
    <row r="411" spans="1:6" x14ac:dyDescent="0.3">
      <c r="A411" s="97">
        <v>42842</v>
      </c>
      <c r="B411" s="95" t="s">
        <v>3461</v>
      </c>
      <c r="C411" s="69" t="s">
        <v>3444</v>
      </c>
      <c r="D411" s="69" t="s">
        <v>3444</v>
      </c>
      <c r="E411" s="84"/>
      <c r="F411" s="84"/>
    </row>
    <row r="412" spans="1:6" x14ac:dyDescent="0.3">
      <c r="A412" s="97">
        <v>42842</v>
      </c>
      <c r="B412" s="95" t="s">
        <v>3462</v>
      </c>
      <c r="C412" s="69" t="s">
        <v>3444</v>
      </c>
      <c r="D412" s="69" t="s">
        <v>3444</v>
      </c>
      <c r="E412" s="84"/>
      <c r="F412" s="84"/>
    </row>
    <row r="413" spans="1:6" x14ac:dyDescent="0.3">
      <c r="A413" s="97">
        <v>42842</v>
      </c>
      <c r="B413" s="95" t="s">
        <v>3463</v>
      </c>
      <c r="C413" s="69" t="s">
        <v>3444</v>
      </c>
      <c r="D413" s="69" t="s">
        <v>3444</v>
      </c>
      <c r="E413" s="84"/>
      <c r="F413" s="84"/>
    </row>
    <row r="414" spans="1:6" x14ac:dyDescent="0.3">
      <c r="A414" s="97">
        <v>42842</v>
      </c>
      <c r="B414" s="95" t="s">
        <v>3464</v>
      </c>
      <c r="C414" s="69" t="s">
        <v>3444</v>
      </c>
      <c r="D414" s="69" t="s">
        <v>3444</v>
      </c>
      <c r="E414" s="84"/>
      <c r="F414" s="84"/>
    </row>
    <row r="415" spans="1:6" x14ac:dyDescent="0.3">
      <c r="A415" s="97">
        <v>42842</v>
      </c>
      <c r="B415" s="95" t="s">
        <v>3465</v>
      </c>
      <c r="C415" s="69" t="s">
        <v>3444</v>
      </c>
      <c r="D415" s="69" t="s">
        <v>3444</v>
      </c>
      <c r="E415" s="84"/>
      <c r="F415" s="84"/>
    </row>
    <row r="416" spans="1:6" x14ac:dyDescent="0.3">
      <c r="A416" s="97">
        <v>42842</v>
      </c>
      <c r="B416" s="95" t="s">
        <v>3466</v>
      </c>
      <c r="C416" s="69" t="s">
        <v>3467</v>
      </c>
      <c r="D416" s="69" t="s">
        <v>3468</v>
      </c>
      <c r="E416" s="84"/>
      <c r="F416" s="84"/>
    </row>
    <row r="417" spans="1:6" x14ac:dyDescent="0.3">
      <c r="A417" s="97">
        <v>42842</v>
      </c>
      <c r="B417" s="95" t="s">
        <v>3469</v>
      </c>
      <c r="C417" s="69" t="s">
        <v>3467</v>
      </c>
      <c r="D417" s="69" t="s">
        <v>3468</v>
      </c>
      <c r="E417" s="84"/>
      <c r="F417" s="84"/>
    </row>
    <row r="418" spans="1:6" x14ac:dyDescent="0.3">
      <c r="A418" s="97"/>
    </row>
    <row r="419" spans="1:6" x14ac:dyDescent="0.3">
      <c r="A419" s="99" t="s">
        <v>3836</v>
      </c>
      <c r="B419" s="5" t="str">
        <f>"Change in topic ("&amp;COUNTA(B420:B463)&amp;")"</f>
        <v>Change in topic (43)</v>
      </c>
      <c r="C419" s="5" t="s">
        <v>374</v>
      </c>
      <c r="D419" s="5" t="s">
        <v>375</v>
      </c>
    </row>
    <row r="420" spans="1:6" x14ac:dyDescent="0.3">
      <c r="A420" s="97">
        <v>42842</v>
      </c>
      <c r="B420" t="s">
        <v>3665</v>
      </c>
      <c r="C420" t="s">
        <v>1099</v>
      </c>
      <c r="D420" t="s">
        <v>1089</v>
      </c>
    </row>
    <row r="421" spans="1:6" x14ac:dyDescent="0.3">
      <c r="A421" s="97">
        <v>42842</v>
      </c>
      <c r="B421" t="s">
        <v>1538</v>
      </c>
      <c r="C421" t="s">
        <v>3670</v>
      </c>
      <c r="D421" t="s">
        <v>3540</v>
      </c>
    </row>
    <row r="422" spans="1:6" x14ac:dyDescent="0.3">
      <c r="A422" s="97">
        <v>42842</v>
      </c>
      <c r="B422" t="s">
        <v>3266</v>
      </c>
      <c r="C422" t="s">
        <v>432</v>
      </c>
      <c r="D422" t="s">
        <v>3666</v>
      </c>
    </row>
    <row r="423" spans="1:6" x14ac:dyDescent="0.3">
      <c r="A423" s="97">
        <v>42842</v>
      </c>
      <c r="B423" t="s">
        <v>415</v>
      </c>
      <c r="C423" t="s">
        <v>419</v>
      </c>
      <c r="D423" t="s">
        <v>3666</v>
      </c>
    </row>
    <row r="424" spans="1:6" x14ac:dyDescent="0.3">
      <c r="A424" s="97">
        <v>42842</v>
      </c>
      <c r="B424" t="s">
        <v>3667</v>
      </c>
      <c r="C424" t="s">
        <v>419</v>
      </c>
      <c r="D424" t="s">
        <v>3666</v>
      </c>
    </row>
    <row r="425" spans="1:6" x14ac:dyDescent="0.3">
      <c r="A425" s="97">
        <v>42842</v>
      </c>
      <c r="B425" t="s">
        <v>2881</v>
      </c>
      <c r="C425" t="s">
        <v>419</v>
      </c>
      <c r="D425" t="s">
        <v>3672</v>
      </c>
    </row>
    <row r="426" spans="1:6" x14ac:dyDescent="0.3">
      <c r="A426" s="97">
        <v>42842</v>
      </c>
      <c r="B426" t="s">
        <v>2883</v>
      </c>
      <c r="C426" t="s">
        <v>419</v>
      </c>
      <c r="D426" t="s">
        <v>3666</v>
      </c>
    </row>
    <row r="427" spans="1:6" x14ac:dyDescent="0.3">
      <c r="A427" s="97">
        <v>42842</v>
      </c>
      <c r="B427" t="s">
        <v>2885</v>
      </c>
      <c r="C427" t="s">
        <v>419</v>
      </c>
      <c r="D427" t="s">
        <v>3666</v>
      </c>
    </row>
    <row r="428" spans="1:6" x14ac:dyDescent="0.3">
      <c r="A428" s="97">
        <v>42842</v>
      </c>
      <c r="B428" t="s">
        <v>2887</v>
      </c>
      <c r="C428" t="s">
        <v>419</v>
      </c>
      <c r="D428" t="s">
        <v>3666</v>
      </c>
    </row>
    <row r="429" spans="1:6" x14ac:dyDescent="0.3">
      <c r="A429" s="97">
        <v>42842</v>
      </c>
      <c r="B429" t="s">
        <v>2889</v>
      </c>
      <c r="C429" t="s">
        <v>419</v>
      </c>
      <c r="D429" t="s">
        <v>3666</v>
      </c>
    </row>
    <row r="430" spans="1:6" x14ac:dyDescent="0.3">
      <c r="A430" s="97">
        <v>42842</v>
      </c>
      <c r="B430" t="s">
        <v>2891</v>
      </c>
      <c r="C430" t="s">
        <v>419</v>
      </c>
      <c r="D430" t="s">
        <v>3666</v>
      </c>
    </row>
    <row r="431" spans="1:6" x14ac:dyDescent="0.3">
      <c r="A431" s="97">
        <v>42842</v>
      </c>
      <c r="B431" t="s">
        <v>2893</v>
      </c>
      <c r="C431" t="s">
        <v>419</v>
      </c>
      <c r="D431" t="s">
        <v>3666</v>
      </c>
    </row>
    <row r="432" spans="1:6" x14ac:dyDescent="0.3">
      <c r="A432" s="97">
        <v>42842</v>
      </c>
      <c r="B432" t="s">
        <v>2895</v>
      </c>
      <c r="C432" t="s">
        <v>419</v>
      </c>
      <c r="D432" t="s">
        <v>3666</v>
      </c>
    </row>
    <row r="433" spans="1:4" x14ac:dyDescent="0.3">
      <c r="A433" s="97">
        <v>42842</v>
      </c>
      <c r="B433" t="s">
        <v>3254</v>
      </c>
      <c r="C433" t="s">
        <v>46</v>
      </c>
      <c r="D433" t="s">
        <v>3671</v>
      </c>
    </row>
    <row r="434" spans="1:4" x14ac:dyDescent="0.3">
      <c r="A434" s="97">
        <v>42842</v>
      </c>
      <c r="B434" t="s">
        <v>1966</v>
      </c>
      <c r="C434" t="s">
        <v>46</v>
      </c>
      <c r="D434" t="s">
        <v>3671</v>
      </c>
    </row>
    <row r="435" spans="1:4" x14ac:dyDescent="0.3">
      <c r="A435" s="97">
        <v>42842</v>
      </c>
      <c r="B435" t="s">
        <v>1968</v>
      </c>
      <c r="C435" t="s">
        <v>46</v>
      </c>
      <c r="D435" t="s">
        <v>3671</v>
      </c>
    </row>
    <row r="436" spans="1:4" x14ac:dyDescent="0.3">
      <c r="A436" s="97">
        <v>42842</v>
      </c>
      <c r="B436" t="s">
        <v>1978</v>
      </c>
      <c r="C436" t="s">
        <v>46</v>
      </c>
      <c r="D436" t="s">
        <v>3671</v>
      </c>
    </row>
    <row r="437" spans="1:4" x14ac:dyDescent="0.3">
      <c r="A437" s="97">
        <v>42842</v>
      </c>
      <c r="B437" t="s">
        <v>1980</v>
      </c>
      <c r="C437" t="s">
        <v>46</v>
      </c>
      <c r="D437" t="s">
        <v>3671</v>
      </c>
    </row>
    <row r="438" spans="1:4" x14ac:dyDescent="0.3">
      <c r="A438" s="97">
        <v>42842</v>
      </c>
      <c r="B438" t="s">
        <v>1964</v>
      </c>
      <c r="C438" t="s">
        <v>46</v>
      </c>
      <c r="D438" t="s">
        <v>3671</v>
      </c>
    </row>
    <row r="439" spans="1:4" x14ac:dyDescent="0.3">
      <c r="A439" s="97">
        <v>42842</v>
      </c>
      <c r="B439" t="s">
        <v>1970</v>
      </c>
      <c r="C439" t="s">
        <v>46</v>
      </c>
      <c r="D439" t="s">
        <v>3671</v>
      </c>
    </row>
    <row r="440" spans="1:4" x14ac:dyDescent="0.3">
      <c r="A440" s="97">
        <v>42842</v>
      </c>
      <c r="B440" t="s">
        <v>42</v>
      </c>
      <c r="C440" t="s">
        <v>57</v>
      </c>
      <c r="D440" t="s">
        <v>46</v>
      </c>
    </row>
    <row r="441" spans="1:4" x14ac:dyDescent="0.3">
      <c r="A441" s="97">
        <v>42842</v>
      </c>
      <c r="B441" t="s">
        <v>47</v>
      </c>
      <c r="C441" t="s">
        <v>57</v>
      </c>
      <c r="D441" t="s">
        <v>46</v>
      </c>
    </row>
    <row r="442" spans="1:4" x14ac:dyDescent="0.3">
      <c r="A442" s="97">
        <v>42842</v>
      </c>
      <c r="B442" t="s">
        <v>50</v>
      </c>
      <c r="C442" t="s">
        <v>57</v>
      </c>
      <c r="D442" t="s">
        <v>46</v>
      </c>
    </row>
    <row r="443" spans="1:4" x14ac:dyDescent="0.3">
      <c r="A443" s="97">
        <v>42842</v>
      </c>
      <c r="B443" t="s">
        <v>295</v>
      </c>
      <c r="C443" t="s">
        <v>427</v>
      </c>
      <c r="D443" t="s">
        <v>46</v>
      </c>
    </row>
    <row r="444" spans="1:4" x14ac:dyDescent="0.3">
      <c r="A444" s="97">
        <v>42842</v>
      </c>
      <c r="B444" t="s">
        <v>3264</v>
      </c>
      <c r="C444" t="s">
        <v>427</v>
      </c>
      <c r="D444" t="s">
        <v>46</v>
      </c>
    </row>
    <row r="445" spans="1:4" x14ac:dyDescent="0.3">
      <c r="A445" s="97">
        <v>42842</v>
      </c>
      <c r="B445" t="s">
        <v>325</v>
      </c>
      <c r="C445" t="s">
        <v>1222</v>
      </c>
      <c r="D445" t="s">
        <v>3668</v>
      </c>
    </row>
    <row r="446" spans="1:4" x14ac:dyDescent="0.3">
      <c r="A446" s="97">
        <v>42842</v>
      </c>
      <c r="B446" t="s">
        <v>2539</v>
      </c>
      <c r="C446" t="s">
        <v>1222</v>
      </c>
      <c r="D446" t="s">
        <v>3668</v>
      </c>
    </row>
    <row r="447" spans="1:4" x14ac:dyDescent="0.3">
      <c r="A447" s="97">
        <v>42842</v>
      </c>
      <c r="B447" t="s">
        <v>1485</v>
      </c>
      <c r="C447" t="s">
        <v>1222</v>
      </c>
      <c r="D447" t="s">
        <v>3668</v>
      </c>
    </row>
    <row r="448" spans="1:4" x14ac:dyDescent="0.3">
      <c r="A448" s="97">
        <v>42842</v>
      </c>
      <c r="B448" t="s">
        <v>1487</v>
      </c>
      <c r="C448" t="s">
        <v>1222</v>
      </c>
      <c r="D448" t="s">
        <v>3668</v>
      </c>
    </row>
    <row r="449" spans="1:4" x14ac:dyDescent="0.3">
      <c r="A449" s="97">
        <v>42842</v>
      </c>
      <c r="B449" t="s">
        <v>2823</v>
      </c>
      <c r="C449" t="s">
        <v>1222</v>
      </c>
      <c r="D449" t="s">
        <v>3668</v>
      </c>
    </row>
    <row r="450" spans="1:4" x14ac:dyDescent="0.3">
      <c r="A450" s="97">
        <v>42842</v>
      </c>
      <c r="B450" t="s">
        <v>2907</v>
      </c>
      <c r="C450" t="s">
        <v>1222</v>
      </c>
      <c r="D450" t="s">
        <v>3668</v>
      </c>
    </row>
    <row r="451" spans="1:4" x14ac:dyDescent="0.3">
      <c r="A451" s="97">
        <v>42842</v>
      </c>
      <c r="B451" t="s">
        <v>2917</v>
      </c>
      <c r="C451" t="s">
        <v>57</v>
      </c>
      <c r="D451" t="s">
        <v>46</v>
      </c>
    </row>
    <row r="452" spans="1:4" x14ac:dyDescent="0.3">
      <c r="A452" s="97">
        <v>42842</v>
      </c>
      <c r="B452" t="s">
        <v>339</v>
      </c>
      <c r="C452" t="s">
        <v>1222</v>
      </c>
      <c r="D452" t="s">
        <v>3668</v>
      </c>
    </row>
    <row r="453" spans="1:4" x14ac:dyDescent="0.3">
      <c r="A453" s="97">
        <v>42842</v>
      </c>
      <c r="B453" t="s">
        <v>342</v>
      </c>
      <c r="C453" t="s">
        <v>1222</v>
      </c>
      <c r="D453" t="s">
        <v>3668</v>
      </c>
    </row>
    <row r="454" spans="1:4" x14ac:dyDescent="0.3">
      <c r="A454" s="97">
        <v>42842</v>
      </c>
      <c r="B454" t="s">
        <v>343</v>
      </c>
      <c r="C454" t="s">
        <v>1222</v>
      </c>
      <c r="D454" t="s">
        <v>3668</v>
      </c>
    </row>
    <row r="455" spans="1:4" x14ac:dyDescent="0.3">
      <c r="A455" s="97">
        <v>42842</v>
      </c>
      <c r="B455" t="s">
        <v>344</v>
      </c>
      <c r="C455" t="s">
        <v>1222</v>
      </c>
      <c r="D455" t="s">
        <v>3668</v>
      </c>
    </row>
    <row r="456" spans="1:4" x14ac:dyDescent="0.3">
      <c r="A456" s="97">
        <v>42842</v>
      </c>
      <c r="B456" t="s">
        <v>345</v>
      </c>
      <c r="C456" t="s">
        <v>1222</v>
      </c>
      <c r="D456" t="s">
        <v>3668</v>
      </c>
    </row>
    <row r="457" spans="1:4" x14ac:dyDescent="0.3">
      <c r="A457" s="97">
        <v>42842</v>
      </c>
      <c r="B457" t="s">
        <v>346</v>
      </c>
      <c r="C457" t="s">
        <v>1222</v>
      </c>
      <c r="D457" t="s">
        <v>3668</v>
      </c>
    </row>
    <row r="458" spans="1:4" x14ac:dyDescent="0.3">
      <c r="A458" s="97">
        <v>42842</v>
      </c>
      <c r="B458" t="s">
        <v>347</v>
      </c>
      <c r="C458" t="s">
        <v>1222</v>
      </c>
      <c r="D458" t="s">
        <v>3668</v>
      </c>
    </row>
    <row r="459" spans="1:4" x14ac:dyDescent="0.3">
      <c r="A459" s="97">
        <v>42842</v>
      </c>
      <c r="B459" t="s">
        <v>348</v>
      </c>
      <c r="C459" t="s">
        <v>1222</v>
      </c>
      <c r="D459" t="s">
        <v>3668</v>
      </c>
    </row>
    <row r="460" spans="1:4" x14ac:dyDescent="0.3">
      <c r="A460" s="100">
        <v>42842</v>
      </c>
      <c r="B460" t="s">
        <v>349</v>
      </c>
      <c r="C460" t="s">
        <v>1222</v>
      </c>
      <c r="D460" t="s">
        <v>3668</v>
      </c>
    </row>
    <row r="461" spans="1:4" x14ac:dyDescent="0.3">
      <c r="A461" s="100">
        <v>42842</v>
      </c>
      <c r="B461" t="s">
        <v>350</v>
      </c>
      <c r="C461" t="s">
        <v>1222</v>
      </c>
      <c r="D461" t="s">
        <v>3668</v>
      </c>
    </row>
    <row r="462" spans="1:4" x14ac:dyDescent="0.3">
      <c r="A462" s="97">
        <v>42842</v>
      </c>
      <c r="B462" t="s">
        <v>1261</v>
      </c>
      <c r="C462" t="s">
        <v>1265</v>
      </c>
      <c r="D462" t="s">
        <v>3669</v>
      </c>
    </row>
    <row r="463" spans="1:4" x14ac:dyDescent="0.3">
      <c r="A463" s="97"/>
    </row>
    <row r="464" spans="1:4" x14ac:dyDescent="0.3">
      <c r="A464" s="97"/>
    </row>
    <row r="465" spans="1:1" x14ac:dyDescent="0.3">
      <c r="A465" s="97"/>
    </row>
    <row r="466" spans="1:1" x14ac:dyDescent="0.3">
      <c r="A466" s="97"/>
    </row>
    <row r="467" spans="1:1" x14ac:dyDescent="0.3">
      <c r="A467" s="97"/>
    </row>
    <row r="468" spans="1:1" x14ac:dyDescent="0.3">
      <c r="A468" s="97"/>
    </row>
    <row r="469" spans="1:1" x14ac:dyDescent="0.3">
      <c r="A469" s="97"/>
    </row>
    <row r="470" spans="1:1" x14ac:dyDescent="0.3">
      <c r="A470" s="97"/>
    </row>
    <row r="471" spans="1:1" x14ac:dyDescent="0.3">
      <c r="A471" s="97"/>
    </row>
    <row r="472" spans="1:1" x14ac:dyDescent="0.3">
      <c r="A472" s="97"/>
    </row>
    <row r="473" spans="1:1" x14ac:dyDescent="0.3">
      <c r="A473" s="97"/>
    </row>
    <row r="474" spans="1:1" x14ac:dyDescent="0.3">
      <c r="A474" s="97"/>
    </row>
    <row r="475" spans="1:1" x14ac:dyDescent="0.3">
      <c r="A475" s="97"/>
    </row>
    <row r="476" spans="1:1" x14ac:dyDescent="0.3">
      <c r="A476" s="97"/>
    </row>
    <row r="477" spans="1:1" x14ac:dyDescent="0.3">
      <c r="A477" s="97"/>
    </row>
    <row r="478" spans="1:1" x14ac:dyDescent="0.3">
      <c r="A478" s="97"/>
    </row>
    <row r="479" spans="1:1" x14ac:dyDescent="0.3">
      <c r="A479" s="97"/>
    </row>
    <row r="480" spans="1:1" x14ac:dyDescent="0.3">
      <c r="A480" s="97"/>
    </row>
    <row r="481" spans="1:1" x14ac:dyDescent="0.3">
      <c r="A481" s="97"/>
    </row>
    <row r="482" spans="1:1" x14ac:dyDescent="0.3">
      <c r="A482" s="97"/>
    </row>
    <row r="483" spans="1:1" x14ac:dyDescent="0.3">
      <c r="A483" s="97"/>
    </row>
    <row r="484" spans="1:1" x14ac:dyDescent="0.3">
      <c r="A484" s="97"/>
    </row>
    <row r="485" spans="1:1" x14ac:dyDescent="0.3">
      <c r="A485" s="97"/>
    </row>
    <row r="486" spans="1:1" x14ac:dyDescent="0.3">
      <c r="A486" s="97"/>
    </row>
    <row r="487" spans="1:1" x14ac:dyDescent="0.3">
      <c r="A487" s="97"/>
    </row>
    <row r="488" spans="1:1" x14ac:dyDescent="0.3">
      <c r="A488" s="100"/>
    </row>
    <row r="489" spans="1:1" x14ac:dyDescent="0.3">
      <c r="A489" s="100"/>
    </row>
    <row r="490" spans="1:1" x14ac:dyDescent="0.3">
      <c r="A490" s="100"/>
    </row>
    <row r="491" spans="1:1" x14ac:dyDescent="0.3">
      <c r="A491" s="100"/>
    </row>
    <row r="492" spans="1:1" x14ac:dyDescent="0.3">
      <c r="A492" s="100"/>
    </row>
    <row r="493" spans="1:1" x14ac:dyDescent="0.3">
      <c r="A493" s="100"/>
    </row>
    <row r="494" spans="1:1" x14ac:dyDescent="0.3">
      <c r="A494" s="100"/>
    </row>
    <row r="495" spans="1:1" x14ac:dyDescent="0.3">
      <c r="A495" s="100"/>
    </row>
    <row r="496" spans="1:1" x14ac:dyDescent="0.3">
      <c r="A496" s="100"/>
    </row>
    <row r="497" spans="1:1" x14ac:dyDescent="0.3">
      <c r="A497" s="100"/>
    </row>
    <row r="498" spans="1:1" x14ac:dyDescent="0.3">
      <c r="A498" s="100"/>
    </row>
    <row r="499" spans="1:1" x14ac:dyDescent="0.3">
      <c r="A499" s="100"/>
    </row>
    <row r="500" spans="1:1" x14ac:dyDescent="0.3">
      <c r="A500" s="100"/>
    </row>
    <row r="501" spans="1:1" x14ac:dyDescent="0.3">
      <c r="A501" s="100"/>
    </row>
    <row r="502" spans="1:1" x14ac:dyDescent="0.3">
      <c r="A502" s="100"/>
    </row>
    <row r="503" spans="1:1" x14ac:dyDescent="0.3">
      <c r="A503" s="100"/>
    </row>
    <row r="504" spans="1:1" x14ac:dyDescent="0.3">
      <c r="A504" s="100"/>
    </row>
    <row r="505" spans="1:1" x14ac:dyDescent="0.3">
      <c r="A505" s="100"/>
    </row>
    <row r="506" spans="1:1" x14ac:dyDescent="0.3">
      <c r="A506" s="100"/>
    </row>
    <row r="507" spans="1:1" x14ac:dyDescent="0.3">
      <c r="A507" s="100"/>
    </row>
    <row r="508" spans="1:1" x14ac:dyDescent="0.3">
      <c r="A508" s="100"/>
    </row>
    <row r="509" spans="1:1" x14ac:dyDescent="0.3">
      <c r="A509" s="100"/>
    </row>
    <row r="510" spans="1:1" x14ac:dyDescent="0.3">
      <c r="A510" s="100"/>
    </row>
    <row r="511" spans="1:1" x14ac:dyDescent="0.3">
      <c r="A511" s="100"/>
    </row>
    <row r="512" spans="1:1" x14ac:dyDescent="0.3">
      <c r="A512" s="100"/>
    </row>
    <row r="513" spans="1:1" x14ac:dyDescent="0.3">
      <c r="A513" s="100"/>
    </row>
    <row r="514" spans="1:1" x14ac:dyDescent="0.3">
      <c r="A514" s="100"/>
    </row>
    <row r="515" spans="1:1" x14ac:dyDescent="0.3">
      <c r="A515" s="100"/>
    </row>
    <row r="516" spans="1:1" x14ac:dyDescent="0.3">
      <c r="A516" s="100"/>
    </row>
    <row r="517" spans="1:1" x14ac:dyDescent="0.3">
      <c r="A517" s="100"/>
    </row>
    <row r="518" spans="1:1" x14ac:dyDescent="0.3">
      <c r="A518" s="100"/>
    </row>
    <row r="519" spans="1:1" x14ac:dyDescent="0.3">
      <c r="A519" s="100"/>
    </row>
    <row r="520" spans="1:1" x14ac:dyDescent="0.3">
      <c r="A520" s="100"/>
    </row>
    <row r="521" spans="1:1" x14ac:dyDescent="0.3">
      <c r="A521" s="100"/>
    </row>
    <row r="522" spans="1:1" x14ac:dyDescent="0.3">
      <c r="A522" s="100"/>
    </row>
    <row r="523" spans="1:1" x14ac:dyDescent="0.3">
      <c r="A523" s="100"/>
    </row>
    <row r="524" spans="1:1" x14ac:dyDescent="0.3">
      <c r="A524" s="100"/>
    </row>
    <row r="525" spans="1:1" x14ac:dyDescent="0.3">
      <c r="A525" s="100"/>
    </row>
    <row r="526" spans="1:1" x14ac:dyDescent="0.3">
      <c r="A526" s="100"/>
    </row>
    <row r="527" spans="1:1" x14ac:dyDescent="0.3">
      <c r="A527" s="100"/>
    </row>
    <row r="528" spans="1:1" x14ac:dyDescent="0.3">
      <c r="A528" s="100"/>
    </row>
    <row r="529" spans="1:1" x14ac:dyDescent="0.3">
      <c r="A529" s="100"/>
    </row>
    <row r="530" spans="1:1" x14ac:dyDescent="0.3">
      <c r="A530" s="100"/>
    </row>
    <row r="531" spans="1:1" x14ac:dyDescent="0.3">
      <c r="A531" s="100"/>
    </row>
    <row r="532" spans="1:1" x14ac:dyDescent="0.3">
      <c r="A532" s="100"/>
    </row>
    <row r="533" spans="1:1" x14ac:dyDescent="0.3">
      <c r="A533" s="100"/>
    </row>
    <row r="534" spans="1:1" x14ac:dyDescent="0.3">
      <c r="A534" s="100"/>
    </row>
    <row r="535" spans="1:1" x14ac:dyDescent="0.3">
      <c r="A535" s="100"/>
    </row>
    <row r="536" spans="1:1" x14ac:dyDescent="0.3">
      <c r="A536" s="100"/>
    </row>
    <row r="537" spans="1:1" x14ac:dyDescent="0.3">
      <c r="A537" s="100"/>
    </row>
    <row r="538" spans="1:1" x14ac:dyDescent="0.3">
      <c r="A538" s="100"/>
    </row>
    <row r="539" spans="1:1" x14ac:dyDescent="0.3">
      <c r="A539" s="100"/>
    </row>
    <row r="540" spans="1:1" x14ac:dyDescent="0.3">
      <c r="A540" s="100"/>
    </row>
    <row r="541" spans="1:1" x14ac:dyDescent="0.3">
      <c r="A541" s="100"/>
    </row>
    <row r="542" spans="1:1" x14ac:dyDescent="0.3">
      <c r="A542" s="100"/>
    </row>
    <row r="543" spans="1:1" x14ac:dyDescent="0.3">
      <c r="A543" s="100"/>
    </row>
    <row r="544" spans="1:1" x14ac:dyDescent="0.3">
      <c r="A544" s="100"/>
    </row>
    <row r="545" spans="1:1" x14ac:dyDescent="0.3">
      <c r="A545" s="100"/>
    </row>
    <row r="546" spans="1:1" x14ac:dyDescent="0.3">
      <c r="A546" s="100"/>
    </row>
    <row r="547" spans="1:1" x14ac:dyDescent="0.3">
      <c r="A547" s="100"/>
    </row>
    <row r="548" spans="1:1" x14ac:dyDescent="0.3">
      <c r="A548" s="100"/>
    </row>
    <row r="549" spans="1:1" x14ac:dyDescent="0.3">
      <c r="A549" s="100"/>
    </row>
    <row r="550" spans="1:1" x14ac:dyDescent="0.3">
      <c r="A550" s="100"/>
    </row>
    <row r="551" spans="1:1" x14ac:dyDescent="0.3">
      <c r="A551" s="100"/>
    </row>
    <row r="552" spans="1:1" x14ac:dyDescent="0.3">
      <c r="A552" s="100"/>
    </row>
    <row r="553" spans="1:1" x14ac:dyDescent="0.3">
      <c r="A553" s="100"/>
    </row>
    <row r="554" spans="1:1" x14ac:dyDescent="0.3">
      <c r="A554" s="100"/>
    </row>
    <row r="555" spans="1:1" x14ac:dyDescent="0.3">
      <c r="A555" s="100"/>
    </row>
    <row r="556" spans="1:1" x14ac:dyDescent="0.3">
      <c r="A556" s="100"/>
    </row>
    <row r="557" spans="1:1" x14ac:dyDescent="0.3">
      <c r="A557" s="100"/>
    </row>
    <row r="558" spans="1:1" x14ac:dyDescent="0.3">
      <c r="A558" s="100"/>
    </row>
    <row r="559" spans="1:1" x14ac:dyDescent="0.3">
      <c r="A559" s="100"/>
    </row>
    <row r="560" spans="1:1" x14ac:dyDescent="0.3">
      <c r="A560" s="100"/>
    </row>
    <row r="561" spans="1:1" x14ac:dyDescent="0.3">
      <c r="A561" s="100"/>
    </row>
    <row r="562" spans="1:1" x14ac:dyDescent="0.3">
      <c r="A562" s="100"/>
    </row>
    <row r="563" spans="1:1" x14ac:dyDescent="0.3">
      <c r="A563" s="100"/>
    </row>
    <row r="564" spans="1:1" x14ac:dyDescent="0.3">
      <c r="A564" s="100"/>
    </row>
    <row r="565" spans="1:1" x14ac:dyDescent="0.3">
      <c r="A565" s="100"/>
    </row>
    <row r="566" spans="1:1" x14ac:dyDescent="0.3">
      <c r="A566" s="100"/>
    </row>
    <row r="567" spans="1:1" x14ac:dyDescent="0.3">
      <c r="A567" s="100"/>
    </row>
    <row r="568" spans="1:1" x14ac:dyDescent="0.3">
      <c r="A568" s="100"/>
    </row>
    <row r="569" spans="1:1" x14ac:dyDescent="0.3">
      <c r="A569" s="100"/>
    </row>
    <row r="570" spans="1:1" x14ac:dyDescent="0.3">
      <c r="A570" s="100"/>
    </row>
    <row r="571" spans="1:1" x14ac:dyDescent="0.3">
      <c r="A571" s="100"/>
    </row>
    <row r="572" spans="1:1" x14ac:dyDescent="0.3">
      <c r="A572" s="100"/>
    </row>
    <row r="573" spans="1:1" x14ac:dyDescent="0.3">
      <c r="A573" s="100"/>
    </row>
    <row r="574" spans="1:1" x14ac:dyDescent="0.3">
      <c r="A574" s="100"/>
    </row>
    <row r="575" spans="1:1" x14ac:dyDescent="0.3">
      <c r="A575" s="100"/>
    </row>
    <row r="576" spans="1:1" x14ac:dyDescent="0.3">
      <c r="A576" s="100"/>
    </row>
    <row r="577" spans="1:1" x14ac:dyDescent="0.3">
      <c r="A577" s="100"/>
    </row>
    <row r="578" spans="1:1" x14ac:dyDescent="0.3">
      <c r="A578" s="100"/>
    </row>
    <row r="579" spans="1:1" x14ac:dyDescent="0.3">
      <c r="A579" s="100"/>
    </row>
    <row r="580" spans="1:1" x14ac:dyDescent="0.3">
      <c r="A580" s="100"/>
    </row>
    <row r="581" spans="1:1" x14ac:dyDescent="0.3">
      <c r="A581" s="100"/>
    </row>
    <row r="582" spans="1:1" x14ac:dyDescent="0.3">
      <c r="A582" s="100"/>
    </row>
    <row r="583" spans="1:1" x14ac:dyDescent="0.3">
      <c r="A583" s="100"/>
    </row>
    <row r="584" spans="1:1" x14ac:dyDescent="0.3">
      <c r="A584" s="100"/>
    </row>
    <row r="585" spans="1:1" x14ac:dyDescent="0.3">
      <c r="A585" s="100"/>
    </row>
    <row r="586" spans="1:1" x14ac:dyDescent="0.3">
      <c r="A586" s="100"/>
    </row>
    <row r="587" spans="1:1" x14ac:dyDescent="0.3">
      <c r="A587" s="100"/>
    </row>
    <row r="588" spans="1:1" x14ac:dyDescent="0.3">
      <c r="A588" s="100"/>
    </row>
    <row r="589" spans="1:1" x14ac:dyDescent="0.3">
      <c r="A589" s="100"/>
    </row>
    <row r="590" spans="1:1" x14ac:dyDescent="0.3">
      <c r="A590" s="100"/>
    </row>
    <row r="591" spans="1:1" x14ac:dyDescent="0.3">
      <c r="A591" s="100"/>
    </row>
    <row r="592" spans="1:1" x14ac:dyDescent="0.3">
      <c r="A592" s="100"/>
    </row>
    <row r="593" spans="1:1" x14ac:dyDescent="0.3">
      <c r="A593" s="100"/>
    </row>
    <row r="594" spans="1:1" x14ac:dyDescent="0.3">
      <c r="A594" s="100"/>
    </row>
    <row r="595" spans="1:1" x14ac:dyDescent="0.3">
      <c r="A595" s="100"/>
    </row>
    <row r="596" spans="1:1" x14ac:dyDescent="0.3">
      <c r="A596" s="100"/>
    </row>
    <row r="597" spans="1:1" x14ac:dyDescent="0.3">
      <c r="A597" s="100"/>
    </row>
    <row r="598" spans="1:1" x14ac:dyDescent="0.3">
      <c r="A598" s="100"/>
    </row>
    <row r="599" spans="1:1" x14ac:dyDescent="0.3">
      <c r="A599" s="100"/>
    </row>
    <row r="600" spans="1:1" x14ac:dyDescent="0.3">
      <c r="A600" s="100"/>
    </row>
    <row r="601" spans="1:1" x14ac:dyDescent="0.3">
      <c r="A601" s="100"/>
    </row>
    <row r="602" spans="1:1" x14ac:dyDescent="0.3">
      <c r="A602" s="100"/>
    </row>
    <row r="603" spans="1:1" x14ac:dyDescent="0.3">
      <c r="A603" s="100"/>
    </row>
    <row r="604" spans="1:1" x14ac:dyDescent="0.3">
      <c r="A604" s="100"/>
    </row>
    <row r="605" spans="1:1" x14ac:dyDescent="0.3">
      <c r="A605" s="100"/>
    </row>
    <row r="606" spans="1:1" x14ac:dyDescent="0.3">
      <c r="A606" s="100"/>
    </row>
    <row r="607" spans="1:1" x14ac:dyDescent="0.3">
      <c r="A607" s="100"/>
    </row>
    <row r="608" spans="1:1" x14ac:dyDescent="0.3">
      <c r="A608" s="100"/>
    </row>
    <row r="609" spans="1:1" x14ac:dyDescent="0.3">
      <c r="A609" s="100"/>
    </row>
    <row r="610" spans="1:1" x14ac:dyDescent="0.3">
      <c r="A610" s="100"/>
    </row>
    <row r="611" spans="1:1" x14ac:dyDescent="0.3">
      <c r="A611" s="100"/>
    </row>
    <row r="612" spans="1:1" x14ac:dyDescent="0.3">
      <c r="A612" s="100"/>
    </row>
    <row r="613" spans="1:1" x14ac:dyDescent="0.3">
      <c r="A613" s="100"/>
    </row>
    <row r="614" spans="1:1" x14ac:dyDescent="0.3">
      <c r="A614" s="100"/>
    </row>
    <row r="615" spans="1:1" x14ac:dyDescent="0.3">
      <c r="A615" s="100"/>
    </row>
    <row r="616" spans="1:1" x14ac:dyDescent="0.3">
      <c r="A616" s="100"/>
    </row>
    <row r="617" spans="1:1" x14ac:dyDescent="0.3">
      <c r="A617" s="100"/>
    </row>
    <row r="618" spans="1:1" x14ac:dyDescent="0.3">
      <c r="A618" s="100"/>
    </row>
    <row r="619" spans="1:1" x14ac:dyDescent="0.3">
      <c r="A619" s="100"/>
    </row>
    <row r="620" spans="1:1" x14ac:dyDescent="0.3">
      <c r="A620" s="100"/>
    </row>
    <row r="621" spans="1:1" x14ac:dyDescent="0.3">
      <c r="A621" s="100"/>
    </row>
    <row r="622" spans="1:1" x14ac:dyDescent="0.3">
      <c r="A622" s="100"/>
    </row>
    <row r="623" spans="1:1" x14ac:dyDescent="0.3">
      <c r="A623" s="100"/>
    </row>
    <row r="624" spans="1:1" x14ac:dyDescent="0.3">
      <c r="A624" s="100"/>
    </row>
    <row r="625" spans="1:1" x14ac:dyDescent="0.3">
      <c r="A625" s="100"/>
    </row>
    <row r="626" spans="1:1" x14ac:dyDescent="0.3">
      <c r="A626" s="100"/>
    </row>
    <row r="627" spans="1:1" x14ac:dyDescent="0.3">
      <c r="A627" s="100"/>
    </row>
    <row r="628" spans="1:1" x14ac:dyDescent="0.3">
      <c r="A628" s="100"/>
    </row>
    <row r="629" spans="1:1" x14ac:dyDescent="0.3">
      <c r="A629" s="100"/>
    </row>
    <row r="630" spans="1:1" x14ac:dyDescent="0.3">
      <c r="A630" s="100"/>
    </row>
    <row r="631" spans="1:1" x14ac:dyDescent="0.3">
      <c r="A631" s="100"/>
    </row>
    <row r="632" spans="1:1" x14ac:dyDescent="0.3">
      <c r="A632" s="100"/>
    </row>
    <row r="633" spans="1:1" x14ac:dyDescent="0.3">
      <c r="A633" s="100"/>
    </row>
    <row r="634" spans="1:1" x14ac:dyDescent="0.3">
      <c r="A634" s="100"/>
    </row>
    <row r="635" spans="1:1" x14ac:dyDescent="0.3">
      <c r="A635" s="100"/>
    </row>
    <row r="636" spans="1:1" x14ac:dyDescent="0.3">
      <c r="A636" s="100"/>
    </row>
    <row r="637" spans="1:1" x14ac:dyDescent="0.3">
      <c r="A637" s="100"/>
    </row>
    <row r="638" spans="1:1" x14ac:dyDescent="0.3">
      <c r="A638" s="100"/>
    </row>
    <row r="639" spans="1:1" x14ac:dyDescent="0.3">
      <c r="A639" s="100"/>
    </row>
    <row r="640" spans="1:1" x14ac:dyDescent="0.3">
      <c r="A640" s="100"/>
    </row>
    <row r="641" spans="1:1" x14ac:dyDescent="0.3">
      <c r="A641" s="100"/>
    </row>
    <row r="642" spans="1:1" x14ac:dyDescent="0.3">
      <c r="A642" s="100"/>
    </row>
    <row r="643" spans="1:1" x14ac:dyDescent="0.3">
      <c r="A643" s="100"/>
    </row>
    <row r="644" spans="1:1" x14ac:dyDescent="0.3">
      <c r="A644" s="100"/>
    </row>
    <row r="645" spans="1:1" x14ac:dyDescent="0.3">
      <c r="A645" s="100"/>
    </row>
    <row r="646" spans="1:1" x14ac:dyDescent="0.3">
      <c r="A646" s="100"/>
    </row>
    <row r="647" spans="1:1" x14ac:dyDescent="0.3">
      <c r="A647" s="100"/>
    </row>
    <row r="648" spans="1:1" x14ac:dyDescent="0.3">
      <c r="A648" s="100"/>
    </row>
    <row r="649" spans="1:1" x14ac:dyDescent="0.3">
      <c r="A649" s="100"/>
    </row>
    <row r="650" spans="1:1" x14ac:dyDescent="0.3">
      <c r="A650" s="100"/>
    </row>
    <row r="651" spans="1:1" x14ac:dyDescent="0.3">
      <c r="A651" s="100"/>
    </row>
    <row r="652" spans="1:1" x14ac:dyDescent="0.3">
      <c r="A652" s="100"/>
    </row>
    <row r="653" spans="1:1" x14ac:dyDescent="0.3">
      <c r="A653" s="100"/>
    </row>
    <row r="654" spans="1:1" x14ac:dyDescent="0.3">
      <c r="A654" s="100"/>
    </row>
    <row r="655" spans="1:1" x14ac:dyDescent="0.3">
      <c r="A655" s="100"/>
    </row>
    <row r="656" spans="1:1" x14ac:dyDescent="0.3">
      <c r="A656" s="100"/>
    </row>
    <row r="657" spans="1:1" x14ac:dyDescent="0.3">
      <c r="A657" s="100"/>
    </row>
    <row r="658" spans="1:1" x14ac:dyDescent="0.3">
      <c r="A658" s="100"/>
    </row>
    <row r="659" spans="1:1" x14ac:dyDescent="0.3">
      <c r="A659" s="100"/>
    </row>
    <row r="660" spans="1:1" x14ac:dyDescent="0.3">
      <c r="A660" s="100"/>
    </row>
    <row r="661" spans="1:1" x14ac:dyDescent="0.3">
      <c r="A661" s="100"/>
    </row>
    <row r="662" spans="1:1" x14ac:dyDescent="0.3">
      <c r="A662" s="100"/>
    </row>
    <row r="663" spans="1:1" x14ac:dyDescent="0.3">
      <c r="A663" s="100"/>
    </row>
    <row r="664" spans="1:1" x14ac:dyDescent="0.3">
      <c r="A664" s="100"/>
    </row>
    <row r="665" spans="1:1" x14ac:dyDescent="0.3">
      <c r="A665" s="100"/>
    </row>
    <row r="666" spans="1:1" x14ac:dyDescent="0.3">
      <c r="A666" s="100"/>
    </row>
    <row r="667" spans="1:1" x14ac:dyDescent="0.3">
      <c r="A667" s="100"/>
    </row>
    <row r="668" spans="1:1" x14ac:dyDescent="0.3">
      <c r="A668" s="100"/>
    </row>
    <row r="669" spans="1:1" x14ac:dyDescent="0.3">
      <c r="A669" s="100"/>
    </row>
    <row r="670" spans="1:1" x14ac:dyDescent="0.3">
      <c r="A670" s="100"/>
    </row>
    <row r="671" spans="1:1" x14ac:dyDescent="0.3">
      <c r="A671" s="100"/>
    </row>
    <row r="672" spans="1:1" x14ac:dyDescent="0.3">
      <c r="A672" s="100"/>
    </row>
    <row r="673" spans="1:1" x14ac:dyDescent="0.3">
      <c r="A673" s="100"/>
    </row>
    <row r="674" spans="1:1" x14ac:dyDescent="0.3">
      <c r="A674" s="100"/>
    </row>
    <row r="675" spans="1:1" x14ac:dyDescent="0.3">
      <c r="A675" s="100"/>
    </row>
    <row r="676" spans="1:1" x14ac:dyDescent="0.3">
      <c r="A676" s="100"/>
    </row>
    <row r="677" spans="1:1" x14ac:dyDescent="0.3">
      <c r="A677" s="100"/>
    </row>
    <row r="678" spans="1:1" x14ac:dyDescent="0.3">
      <c r="A678" s="100"/>
    </row>
    <row r="679" spans="1:1" x14ac:dyDescent="0.3">
      <c r="A679" s="100"/>
    </row>
    <row r="680" spans="1:1" x14ac:dyDescent="0.3">
      <c r="A680" s="100"/>
    </row>
    <row r="681" spans="1:1" x14ac:dyDescent="0.3">
      <c r="A681" s="100"/>
    </row>
    <row r="682" spans="1:1" x14ac:dyDescent="0.3">
      <c r="A682" s="100"/>
    </row>
    <row r="683" spans="1:1" x14ac:dyDescent="0.3">
      <c r="A683" s="100"/>
    </row>
    <row r="684" spans="1:1" x14ac:dyDescent="0.3">
      <c r="A684" s="100"/>
    </row>
    <row r="685" spans="1:1" x14ac:dyDescent="0.3">
      <c r="A685" s="100"/>
    </row>
    <row r="686" spans="1:1" x14ac:dyDescent="0.3">
      <c r="A686" s="100"/>
    </row>
    <row r="687" spans="1:1" x14ac:dyDescent="0.3">
      <c r="A687" s="100"/>
    </row>
    <row r="688" spans="1:1" x14ac:dyDescent="0.3">
      <c r="A688" s="100"/>
    </row>
    <row r="689" spans="1:1" x14ac:dyDescent="0.3">
      <c r="A689" s="100"/>
    </row>
    <row r="690" spans="1:1" x14ac:dyDescent="0.3">
      <c r="A690" s="100"/>
    </row>
    <row r="691" spans="1:1" x14ac:dyDescent="0.3">
      <c r="A691" s="100"/>
    </row>
    <row r="692" spans="1:1" x14ac:dyDescent="0.3">
      <c r="A692" s="100"/>
    </row>
    <row r="693" spans="1:1" x14ac:dyDescent="0.3">
      <c r="A693" s="100"/>
    </row>
    <row r="694" spans="1:1" x14ac:dyDescent="0.3">
      <c r="A694" s="100"/>
    </row>
    <row r="695" spans="1:1" x14ac:dyDescent="0.3">
      <c r="A695" s="100"/>
    </row>
    <row r="696" spans="1:1" x14ac:dyDescent="0.3">
      <c r="A696" s="100"/>
    </row>
    <row r="697" spans="1:1" x14ac:dyDescent="0.3">
      <c r="A697" s="100"/>
    </row>
    <row r="698" spans="1:1" x14ac:dyDescent="0.3">
      <c r="A698" s="100"/>
    </row>
    <row r="699" spans="1:1" x14ac:dyDescent="0.3">
      <c r="A699" s="100"/>
    </row>
    <row r="700" spans="1:1" x14ac:dyDescent="0.3">
      <c r="A700" s="100"/>
    </row>
    <row r="701" spans="1:1" x14ac:dyDescent="0.3">
      <c r="A701" s="100"/>
    </row>
    <row r="702" spans="1:1" x14ac:dyDescent="0.3">
      <c r="A702" s="100"/>
    </row>
    <row r="703" spans="1:1" x14ac:dyDescent="0.3">
      <c r="A703" s="100"/>
    </row>
    <row r="704" spans="1:1" x14ac:dyDescent="0.3">
      <c r="A704" s="100"/>
    </row>
    <row r="705" spans="1:1" x14ac:dyDescent="0.3">
      <c r="A705" s="100"/>
    </row>
    <row r="706" spans="1:1" x14ac:dyDescent="0.3">
      <c r="A706" s="100"/>
    </row>
    <row r="707" spans="1:1" x14ac:dyDescent="0.3">
      <c r="A707" s="100"/>
    </row>
    <row r="708" spans="1:1" x14ac:dyDescent="0.3">
      <c r="A708" s="100"/>
    </row>
    <row r="709" spans="1:1" x14ac:dyDescent="0.3">
      <c r="A709" s="100"/>
    </row>
    <row r="710" spans="1:1" x14ac:dyDescent="0.3">
      <c r="A710" s="100"/>
    </row>
    <row r="711" spans="1:1" x14ac:dyDescent="0.3">
      <c r="A711" s="100"/>
    </row>
    <row r="712" spans="1:1" x14ac:dyDescent="0.3">
      <c r="A712" s="100"/>
    </row>
    <row r="713" spans="1:1" x14ac:dyDescent="0.3">
      <c r="A713" s="100"/>
    </row>
    <row r="714" spans="1:1" x14ac:dyDescent="0.3">
      <c r="A714" s="100"/>
    </row>
    <row r="715" spans="1:1" x14ac:dyDescent="0.3">
      <c r="A715" s="100"/>
    </row>
    <row r="716" spans="1:1" x14ac:dyDescent="0.3">
      <c r="A716" s="100"/>
    </row>
    <row r="717" spans="1:1" x14ac:dyDescent="0.3">
      <c r="A717" s="100"/>
    </row>
    <row r="718" spans="1:1" x14ac:dyDescent="0.3">
      <c r="A718" s="100"/>
    </row>
    <row r="719" spans="1:1" x14ac:dyDescent="0.3">
      <c r="A719" s="100"/>
    </row>
    <row r="720" spans="1:1" x14ac:dyDescent="0.3">
      <c r="A720" s="100"/>
    </row>
    <row r="721" spans="1:1" x14ac:dyDescent="0.3">
      <c r="A721" s="100"/>
    </row>
    <row r="722" spans="1:1" x14ac:dyDescent="0.3">
      <c r="A722" s="100"/>
    </row>
    <row r="723" spans="1:1" x14ac:dyDescent="0.3">
      <c r="A723" s="100"/>
    </row>
    <row r="724" spans="1:1" x14ac:dyDescent="0.3">
      <c r="A724" s="100"/>
    </row>
    <row r="725" spans="1:1" x14ac:dyDescent="0.3">
      <c r="A725" s="100"/>
    </row>
    <row r="726" spans="1:1" x14ac:dyDescent="0.3">
      <c r="A726" s="100"/>
    </row>
    <row r="727" spans="1:1" x14ac:dyDescent="0.3">
      <c r="A727" s="100"/>
    </row>
    <row r="728" spans="1:1" x14ac:dyDescent="0.3">
      <c r="A728" s="100"/>
    </row>
    <row r="729" spans="1:1" x14ac:dyDescent="0.3">
      <c r="A729" s="100"/>
    </row>
    <row r="730" spans="1:1" x14ac:dyDescent="0.3">
      <c r="A730" s="100"/>
    </row>
    <row r="731" spans="1:1" x14ac:dyDescent="0.3">
      <c r="A731" s="100"/>
    </row>
    <row r="732" spans="1:1" x14ac:dyDescent="0.3">
      <c r="A732" s="100"/>
    </row>
    <row r="733" spans="1:1" x14ac:dyDescent="0.3">
      <c r="A733" s="100"/>
    </row>
    <row r="734" spans="1:1" x14ac:dyDescent="0.3">
      <c r="A734" s="100"/>
    </row>
    <row r="735" spans="1:1" x14ac:dyDescent="0.3">
      <c r="A735" s="100"/>
    </row>
    <row r="736" spans="1:1" x14ac:dyDescent="0.3">
      <c r="A736" s="100"/>
    </row>
    <row r="737" spans="1:1" x14ac:dyDescent="0.3">
      <c r="A737" s="100"/>
    </row>
    <row r="738" spans="1:1" x14ac:dyDescent="0.3">
      <c r="A738" s="100"/>
    </row>
    <row r="739" spans="1:1" x14ac:dyDescent="0.3">
      <c r="A739" s="100"/>
    </row>
    <row r="740" spans="1:1" x14ac:dyDescent="0.3">
      <c r="A740" s="100"/>
    </row>
    <row r="741" spans="1:1" x14ac:dyDescent="0.3">
      <c r="A741" s="100"/>
    </row>
    <row r="742" spans="1:1" x14ac:dyDescent="0.3">
      <c r="A742" s="100"/>
    </row>
    <row r="743" spans="1:1" x14ac:dyDescent="0.3">
      <c r="A743" s="100"/>
    </row>
    <row r="744" spans="1:1" x14ac:dyDescent="0.3">
      <c r="A744" s="100"/>
    </row>
    <row r="745" spans="1:1" x14ac:dyDescent="0.3">
      <c r="A745" s="100"/>
    </row>
    <row r="746" spans="1:1" x14ac:dyDescent="0.3">
      <c r="A746" s="100"/>
    </row>
    <row r="747" spans="1:1" x14ac:dyDescent="0.3">
      <c r="A747" s="100"/>
    </row>
    <row r="748" spans="1:1" x14ac:dyDescent="0.3">
      <c r="A748" s="100"/>
    </row>
    <row r="749" spans="1:1" x14ac:dyDescent="0.3">
      <c r="A749" s="100"/>
    </row>
    <row r="750" spans="1:1" x14ac:dyDescent="0.3">
      <c r="A750" s="100"/>
    </row>
    <row r="751" spans="1:1" x14ac:dyDescent="0.3">
      <c r="A751" s="100"/>
    </row>
    <row r="752" spans="1:1" x14ac:dyDescent="0.3">
      <c r="A752" s="100"/>
    </row>
    <row r="753" spans="1:1" x14ac:dyDescent="0.3">
      <c r="A753" s="100"/>
    </row>
    <row r="754" spans="1:1" x14ac:dyDescent="0.3">
      <c r="A754" s="100"/>
    </row>
    <row r="755" spans="1:1" x14ac:dyDescent="0.3">
      <c r="A755" s="100"/>
    </row>
    <row r="756" spans="1:1" x14ac:dyDescent="0.3">
      <c r="A756" s="100"/>
    </row>
    <row r="757" spans="1:1" x14ac:dyDescent="0.3">
      <c r="A757" s="100"/>
    </row>
    <row r="758" spans="1:1" x14ac:dyDescent="0.3">
      <c r="A758" s="100"/>
    </row>
    <row r="759" spans="1:1" x14ac:dyDescent="0.3">
      <c r="A759" s="100"/>
    </row>
    <row r="760" spans="1:1" x14ac:dyDescent="0.3">
      <c r="A760" s="100"/>
    </row>
    <row r="761" spans="1:1" x14ac:dyDescent="0.3">
      <c r="A761" s="100"/>
    </row>
    <row r="762" spans="1:1" x14ac:dyDescent="0.3">
      <c r="A762" s="100"/>
    </row>
    <row r="763" spans="1:1" x14ac:dyDescent="0.3">
      <c r="A763" s="100"/>
    </row>
    <row r="764" spans="1:1" x14ac:dyDescent="0.3">
      <c r="A764" s="100"/>
    </row>
    <row r="765" spans="1:1" x14ac:dyDescent="0.3">
      <c r="A765" s="100"/>
    </row>
    <row r="766" spans="1:1" x14ac:dyDescent="0.3">
      <c r="A766" s="100"/>
    </row>
    <row r="767" spans="1:1" x14ac:dyDescent="0.3">
      <c r="A767" s="100"/>
    </row>
    <row r="768" spans="1:1" x14ac:dyDescent="0.3">
      <c r="A768" s="100"/>
    </row>
    <row r="769" spans="1:1" x14ac:dyDescent="0.3">
      <c r="A769" s="100"/>
    </row>
    <row r="770" spans="1:1" x14ac:dyDescent="0.3">
      <c r="A770" s="100"/>
    </row>
    <row r="771" spans="1:1" x14ac:dyDescent="0.3">
      <c r="A771" s="100"/>
    </row>
    <row r="772" spans="1:1" x14ac:dyDescent="0.3">
      <c r="A772" s="100"/>
    </row>
    <row r="773" spans="1:1" x14ac:dyDescent="0.3">
      <c r="A773" s="100"/>
    </row>
    <row r="774" spans="1:1" x14ac:dyDescent="0.3">
      <c r="A774" s="100"/>
    </row>
    <row r="775" spans="1:1" x14ac:dyDescent="0.3">
      <c r="A775" s="100"/>
    </row>
    <row r="776" spans="1:1" x14ac:dyDescent="0.3">
      <c r="A776" s="100"/>
    </row>
    <row r="777" spans="1:1" x14ac:dyDescent="0.3">
      <c r="A777" s="100"/>
    </row>
    <row r="778" spans="1:1" x14ac:dyDescent="0.3">
      <c r="A778" s="100"/>
    </row>
    <row r="779" spans="1:1" x14ac:dyDescent="0.3">
      <c r="A779" s="100"/>
    </row>
    <row r="780" spans="1:1" x14ac:dyDescent="0.3">
      <c r="A780" s="100"/>
    </row>
    <row r="781" spans="1:1" x14ac:dyDescent="0.3">
      <c r="A781" s="100"/>
    </row>
    <row r="782" spans="1:1" x14ac:dyDescent="0.3">
      <c r="A782" s="100"/>
    </row>
    <row r="783" spans="1:1" x14ac:dyDescent="0.3">
      <c r="A783" s="100"/>
    </row>
    <row r="784" spans="1:1" x14ac:dyDescent="0.3">
      <c r="A784" s="100"/>
    </row>
    <row r="785" spans="1:1" x14ac:dyDescent="0.3">
      <c r="A785" s="100"/>
    </row>
    <row r="786" spans="1:1" x14ac:dyDescent="0.3">
      <c r="A786" s="100"/>
    </row>
    <row r="787" spans="1:1" x14ac:dyDescent="0.3">
      <c r="A787" s="100"/>
    </row>
    <row r="788" spans="1:1" x14ac:dyDescent="0.3">
      <c r="A788" s="100"/>
    </row>
    <row r="789" spans="1:1" x14ac:dyDescent="0.3">
      <c r="A789" s="100"/>
    </row>
    <row r="790" spans="1:1" x14ac:dyDescent="0.3">
      <c r="A790" s="100"/>
    </row>
    <row r="791" spans="1:1" x14ac:dyDescent="0.3">
      <c r="A791" s="100"/>
    </row>
    <row r="792" spans="1:1" x14ac:dyDescent="0.3">
      <c r="A792" s="100"/>
    </row>
    <row r="793" spans="1:1" x14ac:dyDescent="0.3">
      <c r="A793" s="100"/>
    </row>
    <row r="794" spans="1:1" x14ac:dyDescent="0.3">
      <c r="A794" s="100"/>
    </row>
    <row r="795" spans="1:1" x14ac:dyDescent="0.3">
      <c r="A795" s="100"/>
    </row>
    <row r="796" spans="1:1" x14ac:dyDescent="0.3">
      <c r="A796" s="100"/>
    </row>
    <row r="797" spans="1:1" x14ac:dyDescent="0.3">
      <c r="A797" s="100"/>
    </row>
    <row r="798" spans="1:1" x14ac:dyDescent="0.3">
      <c r="A798" s="100"/>
    </row>
    <row r="799" spans="1:1" x14ac:dyDescent="0.3">
      <c r="A799" s="100"/>
    </row>
    <row r="800" spans="1:1" x14ac:dyDescent="0.3">
      <c r="A800" s="100"/>
    </row>
    <row r="801" spans="1:1" x14ac:dyDescent="0.3">
      <c r="A801" s="100"/>
    </row>
    <row r="802" spans="1:1" x14ac:dyDescent="0.3">
      <c r="A802" s="100"/>
    </row>
    <row r="803" spans="1:1" x14ac:dyDescent="0.3">
      <c r="A803" s="100"/>
    </row>
    <row r="804" spans="1:1" x14ac:dyDescent="0.3">
      <c r="A804" s="100"/>
    </row>
    <row r="805" spans="1:1" x14ac:dyDescent="0.3">
      <c r="A805" s="100"/>
    </row>
    <row r="806" spans="1:1" x14ac:dyDescent="0.3">
      <c r="A806" s="100"/>
    </row>
    <row r="807" spans="1:1" x14ac:dyDescent="0.3">
      <c r="A807" s="100"/>
    </row>
    <row r="808" spans="1:1" x14ac:dyDescent="0.3">
      <c r="A808" s="100"/>
    </row>
    <row r="809" spans="1:1" x14ac:dyDescent="0.3">
      <c r="A809" s="100"/>
    </row>
    <row r="810" spans="1:1" x14ac:dyDescent="0.3">
      <c r="A810" s="100"/>
    </row>
    <row r="811" spans="1:1" x14ac:dyDescent="0.3">
      <c r="A811" s="100"/>
    </row>
    <row r="812" spans="1:1" x14ac:dyDescent="0.3">
      <c r="A812" s="100"/>
    </row>
    <row r="813" spans="1:1" x14ac:dyDescent="0.3">
      <c r="A813" s="100"/>
    </row>
    <row r="814" spans="1:1" x14ac:dyDescent="0.3">
      <c r="A814" s="100"/>
    </row>
    <row r="815" spans="1:1" x14ac:dyDescent="0.3">
      <c r="A815" s="100"/>
    </row>
    <row r="816" spans="1:1" x14ac:dyDescent="0.3">
      <c r="A816" s="100"/>
    </row>
    <row r="817" spans="1:1" x14ac:dyDescent="0.3">
      <c r="A817" s="100"/>
    </row>
    <row r="818" spans="1:1" x14ac:dyDescent="0.3">
      <c r="A818" s="100"/>
    </row>
    <row r="819" spans="1:1" x14ac:dyDescent="0.3">
      <c r="A819" s="100"/>
    </row>
    <row r="820" spans="1:1" x14ac:dyDescent="0.3">
      <c r="A820" s="100"/>
    </row>
    <row r="821" spans="1:1" x14ac:dyDescent="0.3">
      <c r="A821" s="100"/>
    </row>
    <row r="822" spans="1:1" x14ac:dyDescent="0.3">
      <c r="A822" s="100"/>
    </row>
    <row r="823" spans="1:1" x14ac:dyDescent="0.3">
      <c r="A823" s="100"/>
    </row>
    <row r="824" spans="1:1" x14ac:dyDescent="0.3">
      <c r="A824" s="100"/>
    </row>
    <row r="825" spans="1:1" x14ac:dyDescent="0.3">
      <c r="A825" s="100"/>
    </row>
    <row r="826" spans="1:1" x14ac:dyDescent="0.3">
      <c r="A826" s="100"/>
    </row>
    <row r="827" spans="1:1" x14ac:dyDescent="0.3">
      <c r="A827" s="100"/>
    </row>
    <row r="828" spans="1:1" x14ac:dyDescent="0.3">
      <c r="A828" s="100"/>
    </row>
    <row r="829" spans="1:1" x14ac:dyDescent="0.3">
      <c r="A829" s="100"/>
    </row>
    <row r="830" spans="1:1" x14ac:dyDescent="0.3">
      <c r="A830" s="100"/>
    </row>
    <row r="831" spans="1:1" x14ac:dyDescent="0.3">
      <c r="A831" s="100"/>
    </row>
    <row r="832" spans="1:1" x14ac:dyDescent="0.3">
      <c r="A832" s="100"/>
    </row>
    <row r="833" spans="1:1" x14ac:dyDescent="0.3">
      <c r="A833" s="100"/>
    </row>
    <row r="834" spans="1:1" x14ac:dyDescent="0.3">
      <c r="A834" s="100"/>
    </row>
    <row r="835" spans="1:1" x14ac:dyDescent="0.3">
      <c r="A835" s="100"/>
    </row>
    <row r="836" spans="1:1" x14ac:dyDescent="0.3">
      <c r="A836" s="100"/>
    </row>
    <row r="837" spans="1:1" x14ac:dyDescent="0.3">
      <c r="A837" s="100"/>
    </row>
    <row r="838" spans="1:1" x14ac:dyDescent="0.3">
      <c r="A838" s="100"/>
    </row>
    <row r="839" spans="1:1" x14ac:dyDescent="0.3">
      <c r="A839" s="100"/>
    </row>
    <row r="840" spans="1:1" x14ac:dyDescent="0.3">
      <c r="A840" s="100"/>
    </row>
    <row r="841" spans="1:1" x14ac:dyDescent="0.3">
      <c r="A841" s="100"/>
    </row>
    <row r="842" spans="1:1" x14ac:dyDescent="0.3">
      <c r="A842" s="100"/>
    </row>
    <row r="843" spans="1:1" x14ac:dyDescent="0.3">
      <c r="A843" s="100"/>
    </row>
    <row r="844" spans="1:1" x14ac:dyDescent="0.3">
      <c r="A844" s="100"/>
    </row>
    <row r="845" spans="1:1" x14ac:dyDescent="0.3">
      <c r="A845" s="100"/>
    </row>
    <row r="846" spans="1:1" x14ac:dyDescent="0.3">
      <c r="A846" s="100"/>
    </row>
    <row r="847" spans="1:1" x14ac:dyDescent="0.3">
      <c r="A847" s="100"/>
    </row>
    <row r="848" spans="1:1" x14ac:dyDescent="0.3">
      <c r="A848" s="100"/>
    </row>
    <row r="849" spans="1:1" x14ac:dyDescent="0.3">
      <c r="A849" s="100"/>
    </row>
    <row r="850" spans="1:1" x14ac:dyDescent="0.3">
      <c r="A850" s="100"/>
    </row>
    <row r="851" spans="1:1" x14ac:dyDescent="0.3">
      <c r="A851" s="100"/>
    </row>
    <row r="852" spans="1:1" x14ac:dyDescent="0.3">
      <c r="A852" s="100"/>
    </row>
    <row r="853" spans="1:1" x14ac:dyDescent="0.3">
      <c r="A853" s="100"/>
    </row>
    <row r="854" spans="1:1" x14ac:dyDescent="0.3">
      <c r="A854" s="100"/>
    </row>
    <row r="855" spans="1:1" x14ac:dyDescent="0.3">
      <c r="A855" s="100"/>
    </row>
    <row r="856" spans="1:1" x14ac:dyDescent="0.3">
      <c r="A856" s="100"/>
    </row>
    <row r="857" spans="1:1" x14ac:dyDescent="0.3">
      <c r="A857" s="100"/>
    </row>
    <row r="858" spans="1:1" x14ac:dyDescent="0.3">
      <c r="A858" s="100"/>
    </row>
    <row r="859" spans="1:1" x14ac:dyDescent="0.3">
      <c r="A859" s="100"/>
    </row>
    <row r="860" spans="1:1" x14ac:dyDescent="0.3">
      <c r="A860" s="100"/>
    </row>
    <row r="861" spans="1:1" x14ac:dyDescent="0.3">
      <c r="A861" s="100"/>
    </row>
    <row r="862" spans="1:1" x14ac:dyDescent="0.3">
      <c r="A862" s="100"/>
    </row>
    <row r="863" spans="1:1" x14ac:dyDescent="0.3">
      <c r="A863" s="100"/>
    </row>
    <row r="864" spans="1:1" x14ac:dyDescent="0.3">
      <c r="A864" s="100"/>
    </row>
    <row r="865" spans="1:1" x14ac:dyDescent="0.3">
      <c r="A865" s="100"/>
    </row>
    <row r="866" spans="1:1" x14ac:dyDescent="0.3">
      <c r="A866" s="100"/>
    </row>
    <row r="867" spans="1:1" x14ac:dyDescent="0.3">
      <c r="A867" s="100"/>
    </row>
    <row r="868" spans="1:1" x14ac:dyDescent="0.3">
      <c r="A868" s="100"/>
    </row>
    <row r="869" spans="1:1" x14ac:dyDescent="0.3">
      <c r="A869" s="100"/>
    </row>
    <row r="870" spans="1:1" x14ac:dyDescent="0.3">
      <c r="A870" s="100"/>
    </row>
    <row r="871" spans="1:1" x14ac:dyDescent="0.3">
      <c r="A871" s="100"/>
    </row>
    <row r="872" spans="1:1" x14ac:dyDescent="0.3">
      <c r="A872" s="100"/>
    </row>
    <row r="873" spans="1:1" x14ac:dyDescent="0.3">
      <c r="A873" s="100"/>
    </row>
    <row r="874" spans="1:1" x14ac:dyDescent="0.3">
      <c r="A874" s="100"/>
    </row>
    <row r="875" spans="1:1" x14ac:dyDescent="0.3">
      <c r="A875" s="100"/>
    </row>
    <row r="876" spans="1:1" x14ac:dyDescent="0.3">
      <c r="A876" s="100"/>
    </row>
    <row r="877" spans="1:1" x14ac:dyDescent="0.3">
      <c r="A877" s="100"/>
    </row>
    <row r="878" spans="1:1" x14ac:dyDescent="0.3">
      <c r="A878" s="100"/>
    </row>
    <row r="879" spans="1:1" x14ac:dyDescent="0.3">
      <c r="A879" s="100"/>
    </row>
    <row r="880" spans="1:1" x14ac:dyDescent="0.3">
      <c r="A880" s="100"/>
    </row>
    <row r="881" spans="1:1" x14ac:dyDescent="0.3">
      <c r="A881" s="100"/>
    </row>
    <row r="882" spans="1:1" x14ac:dyDescent="0.3">
      <c r="A882" s="100"/>
    </row>
    <row r="883" spans="1:1" x14ac:dyDescent="0.3">
      <c r="A883" s="100"/>
    </row>
    <row r="884" spans="1:1" x14ac:dyDescent="0.3">
      <c r="A884" s="100"/>
    </row>
    <row r="885" spans="1:1" x14ac:dyDescent="0.3">
      <c r="A885" s="100"/>
    </row>
    <row r="886" spans="1:1" x14ac:dyDescent="0.3">
      <c r="A886" s="100"/>
    </row>
    <row r="887" spans="1:1" x14ac:dyDescent="0.3">
      <c r="A887" s="100"/>
    </row>
    <row r="888" spans="1:1" x14ac:dyDescent="0.3">
      <c r="A888" s="100"/>
    </row>
    <row r="889" spans="1:1" x14ac:dyDescent="0.3">
      <c r="A889" s="100"/>
    </row>
    <row r="890" spans="1:1" x14ac:dyDescent="0.3">
      <c r="A890" s="100"/>
    </row>
    <row r="891" spans="1:1" x14ac:dyDescent="0.3">
      <c r="A891" s="100"/>
    </row>
    <row r="892" spans="1:1" x14ac:dyDescent="0.3">
      <c r="A892" s="100"/>
    </row>
    <row r="893" spans="1:1" x14ac:dyDescent="0.3">
      <c r="A893" s="100"/>
    </row>
    <row r="894" spans="1:1" x14ac:dyDescent="0.3">
      <c r="A894" s="100"/>
    </row>
    <row r="895" spans="1:1" x14ac:dyDescent="0.3">
      <c r="A895" s="100"/>
    </row>
    <row r="896" spans="1:1" x14ac:dyDescent="0.3">
      <c r="A896" s="100"/>
    </row>
    <row r="897" spans="1:1" x14ac:dyDescent="0.3">
      <c r="A897" s="100"/>
    </row>
    <row r="898" spans="1:1" x14ac:dyDescent="0.3">
      <c r="A898" s="100"/>
    </row>
    <row r="899" spans="1:1" x14ac:dyDescent="0.3">
      <c r="A899" s="100"/>
    </row>
    <row r="900" spans="1:1" x14ac:dyDescent="0.3">
      <c r="A900" s="100"/>
    </row>
    <row r="901" spans="1:1" x14ac:dyDescent="0.3">
      <c r="A901" s="100"/>
    </row>
    <row r="902" spans="1:1" x14ac:dyDescent="0.3">
      <c r="A902" s="100"/>
    </row>
    <row r="903" spans="1:1" x14ac:dyDescent="0.3">
      <c r="A903" s="100"/>
    </row>
    <row r="904" spans="1:1" x14ac:dyDescent="0.3">
      <c r="A904" s="100"/>
    </row>
    <row r="905" spans="1:1" x14ac:dyDescent="0.3">
      <c r="A905" s="100"/>
    </row>
    <row r="906" spans="1:1" x14ac:dyDescent="0.3">
      <c r="A906" s="100"/>
    </row>
    <row r="907" spans="1:1" x14ac:dyDescent="0.3">
      <c r="A907" s="100"/>
    </row>
    <row r="908" spans="1:1" x14ac:dyDescent="0.3">
      <c r="A908" s="100"/>
    </row>
    <row r="909" spans="1:1" x14ac:dyDescent="0.3">
      <c r="A909" s="100"/>
    </row>
    <row r="910" spans="1:1" x14ac:dyDescent="0.3">
      <c r="A910" s="100"/>
    </row>
    <row r="911" spans="1:1" x14ac:dyDescent="0.3">
      <c r="A911" s="100"/>
    </row>
    <row r="912" spans="1:1" x14ac:dyDescent="0.3">
      <c r="A912" s="100"/>
    </row>
    <row r="913" spans="1:1" x14ac:dyDescent="0.3">
      <c r="A913" s="100"/>
    </row>
    <row r="914" spans="1:1" x14ac:dyDescent="0.3">
      <c r="A914" s="100"/>
    </row>
    <row r="915" spans="1:1" x14ac:dyDescent="0.3">
      <c r="A915" s="100"/>
    </row>
    <row r="916" spans="1:1" x14ac:dyDescent="0.3">
      <c r="A916" s="100"/>
    </row>
    <row r="917" spans="1:1" x14ac:dyDescent="0.3">
      <c r="A917" s="100"/>
    </row>
    <row r="918" spans="1:1" x14ac:dyDescent="0.3">
      <c r="A918" s="100"/>
    </row>
    <row r="919" spans="1:1" x14ac:dyDescent="0.3">
      <c r="A919" s="100"/>
    </row>
    <row r="920" spans="1:1" x14ac:dyDescent="0.3">
      <c r="A920" s="100"/>
    </row>
    <row r="921" spans="1:1" x14ac:dyDescent="0.3">
      <c r="A921" s="100"/>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4BCEF-3BB6-4FB3-859C-0A30F6C4D031}">
  <dimension ref="A1:H776"/>
  <sheetViews>
    <sheetView workbookViewId="0"/>
  </sheetViews>
  <sheetFormatPr defaultRowHeight="14.4" x14ac:dyDescent="0.3"/>
  <cols>
    <col min="1" max="1" width="11.6640625" customWidth="1"/>
    <col min="2" max="2" width="25.44140625" customWidth="1"/>
    <col min="3" max="3" width="119.5546875" customWidth="1"/>
    <col min="4" max="4" width="91.33203125" customWidth="1"/>
    <col min="5" max="5" width="38.5546875" customWidth="1"/>
    <col min="6" max="6" width="41.88671875" customWidth="1"/>
    <col min="7" max="7" width="9.109375" style="7" customWidth="1"/>
  </cols>
  <sheetData>
    <row r="1" spans="1:8" x14ac:dyDescent="0.3">
      <c r="A1" s="5" t="s">
        <v>3836</v>
      </c>
      <c r="B1" s="4" t="str">
        <f>"Additions ("&amp;COUNTA(B2:B136)&amp;")"</f>
        <v>Additions (134)</v>
      </c>
      <c r="C1" s="5" t="s">
        <v>28</v>
      </c>
      <c r="D1" s="6" t="s">
        <v>29</v>
      </c>
      <c r="E1" s="5" t="s">
        <v>30</v>
      </c>
      <c r="F1" s="5" t="s">
        <v>31</v>
      </c>
    </row>
    <row r="2" spans="1:8" s="38" customFormat="1" x14ac:dyDescent="0.3">
      <c r="A2" s="97">
        <v>42471</v>
      </c>
      <c r="B2" s="65" t="s">
        <v>2955</v>
      </c>
      <c r="C2" s="65" t="s">
        <v>2956</v>
      </c>
      <c r="D2" s="42" t="s">
        <v>3075</v>
      </c>
      <c r="E2" s="37" t="s">
        <v>3068</v>
      </c>
      <c r="F2" s="37" t="s">
        <v>1274</v>
      </c>
      <c r="H2" s="37"/>
    </row>
    <row r="3" spans="1:8" s="38" customFormat="1" x14ac:dyDescent="0.3">
      <c r="A3" s="97">
        <v>42471</v>
      </c>
      <c r="B3" s="65" t="s">
        <v>2957</v>
      </c>
      <c r="C3" s="65" t="s">
        <v>2958</v>
      </c>
      <c r="D3" s="42" t="s">
        <v>3073</v>
      </c>
      <c r="E3" s="37" t="s">
        <v>3068</v>
      </c>
      <c r="F3" s="37" t="s">
        <v>1274</v>
      </c>
      <c r="G3" s="7"/>
      <c r="H3" s="7"/>
    </row>
    <row r="4" spans="1:8" s="38" customFormat="1" x14ac:dyDescent="0.3">
      <c r="A4" s="97">
        <v>42471</v>
      </c>
      <c r="B4" s="65" t="s">
        <v>2959</v>
      </c>
      <c r="C4" s="65" t="s">
        <v>2960</v>
      </c>
      <c r="D4" s="42" t="s">
        <v>3076</v>
      </c>
      <c r="E4" s="37" t="s">
        <v>3068</v>
      </c>
      <c r="F4" s="37" t="s">
        <v>1274</v>
      </c>
      <c r="G4" s="7"/>
      <c r="H4" s="7"/>
    </row>
    <row r="5" spans="1:8" s="38" customFormat="1" x14ac:dyDescent="0.3">
      <c r="A5" s="97">
        <v>42471</v>
      </c>
      <c r="B5" s="65" t="s">
        <v>2961</v>
      </c>
      <c r="C5" s="65" t="s">
        <v>2962</v>
      </c>
      <c r="D5" s="42" t="s">
        <v>3074</v>
      </c>
      <c r="E5" s="37" t="s">
        <v>3068</v>
      </c>
      <c r="F5" s="37" t="s">
        <v>1274</v>
      </c>
      <c r="G5" s="7"/>
      <c r="H5" s="7"/>
    </row>
    <row r="6" spans="1:8" s="38" customFormat="1" x14ac:dyDescent="0.3">
      <c r="A6" s="97">
        <v>42471</v>
      </c>
      <c r="B6" s="65" t="s">
        <v>2963</v>
      </c>
      <c r="C6" s="65" t="s">
        <v>2964</v>
      </c>
      <c r="D6" s="42" t="s">
        <v>3078</v>
      </c>
      <c r="E6" s="37" t="s">
        <v>3068</v>
      </c>
      <c r="F6" s="37" t="s">
        <v>1274</v>
      </c>
      <c r="G6" s="7"/>
      <c r="H6" s="37"/>
    </row>
    <row r="7" spans="1:8" s="38" customFormat="1" x14ac:dyDescent="0.3">
      <c r="A7" s="97">
        <v>42471</v>
      </c>
      <c r="B7" s="65" t="s">
        <v>2965</v>
      </c>
      <c r="C7" s="65" t="s">
        <v>2966</v>
      </c>
      <c r="D7" s="42" t="s">
        <v>3077</v>
      </c>
      <c r="E7" s="37" t="s">
        <v>3068</v>
      </c>
      <c r="F7" s="37" t="s">
        <v>1274</v>
      </c>
      <c r="G7" s="7"/>
      <c r="H7" s="37"/>
    </row>
    <row r="8" spans="1:8" s="38" customFormat="1" x14ac:dyDescent="0.3">
      <c r="A8" s="97">
        <v>42471</v>
      </c>
      <c r="B8" s="66" t="s">
        <v>2929</v>
      </c>
      <c r="C8" s="37" t="s">
        <v>2930</v>
      </c>
      <c r="D8" s="42" t="s">
        <v>3052</v>
      </c>
      <c r="E8" s="37" t="s">
        <v>3051</v>
      </c>
      <c r="F8" s="7" t="s">
        <v>36</v>
      </c>
      <c r="G8" s="7"/>
      <c r="H8" s="7"/>
    </row>
    <row r="9" spans="1:8" s="38" customFormat="1" x14ac:dyDescent="0.3">
      <c r="A9" s="97">
        <v>42471</v>
      </c>
      <c r="B9" s="65" t="s">
        <v>2967</v>
      </c>
      <c r="C9" s="67" t="s">
        <v>2968</v>
      </c>
      <c r="D9" s="42" t="s">
        <v>3092</v>
      </c>
      <c r="E9" s="37" t="s">
        <v>3069</v>
      </c>
      <c r="F9" s="37" t="s">
        <v>385</v>
      </c>
      <c r="H9" s="37"/>
    </row>
    <row r="10" spans="1:8" s="38" customFormat="1" x14ac:dyDescent="0.3">
      <c r="A10" s="97">
        <v>42471</v>
      </c>
      <c r="B10" s="65" t="s">
        <v>2969</v>
      </c>
      <c r="C10" s="65" t="s">
        <v>2970</v>
      </c>
      <c r="D10" s="42" t="s">
        <v>3082</v>
      </c>
      <c r="E10" s="37" t="s">
        <v>3061</v>
      </c>
      <c r="F10" s="37" t="s">
        <v>385</v>
      </c>
      <c r="G10" s="7"/>
      <c r="H10" s="7"/>
    </row>
    <row r="11" spans="1:8" s="38" customFormat="1" x14ac:dyDescent="0.3">
      <c r="A11" s="97">
        <v>42471</v>
      </c>
      <c r="B11" s="65" t="s">
        <v>2971</v>
      </c>
      <c r="C11" s="65" t="s">
        <v>2972</v>
      </c>
      <c r="D11" s="42" t="s">
        <v>3081</v>
      </c>
      <c r="E11" s="37" t="s">
        <v>3069</v>
      </c>
      <c r="F11" s="37" t="s">
        <v>385</v>
      </c>
      <c r="G11" s="7"/>
      <c r="H11" s="7"/>
    </row>
    <row r="12" spans="1:8" s="38" customFormat="1" x14ac:dyDescent="0.3">
      <c r="A12" s="97">
        <v>42471</v>
      </c>
      <c r="B12" s="65" t="s">
        <v>2973</v>
      </c>
      <c r="C12" s="67" t="s">
        <v>2974</v>
      </c>
      <c r="D12" s="42" t="s">
        <v>3083</v>
      </c>
      <c r="E12" s="37" t="s">
        <v>3069</v>
      </c>
      <c r="F12" s="37" t="s">
        <v>385</v>
      </c>
      <c r="H12" s="37"/>
    </row>
    <row r="13" spans="1:8" s="38" customFormat="1" x14ac:dyDescent="0.3">
      <c r="A13" s="97">
        <v>42471</v>
      </c>
      <c r="B13" s="65" t="s">
        <v>2975</v>
      </c>
      <c r="C13" s="65" t="s">
        <v>3139</v>
      </c>
      <c r="D13" s="42" t="s">
        <v>1056</v>
      </c>
      <c r="E13" s="37" t="s">
        <v>3069</v>
      </c>
      <c r="F13" s="37" t="s">
        <v>385</v>
      </c>
      <c r="G13" s="7"/>
      <c r="H13" s="7"/>
    </row>
    <row r="14" spans="1:8" s="38" customFormat="1" x14ac:dyDescent="0.3">
      <c r="A14" s="97">
        <v>42471</v>
      </c>
      <c r="B14" s="65" t="s">
        <v>2976</v>
      </c>
      <c r="C14" s="67" t="s">
        <v>2977</v>
      </c>
      <c r="D14" s="42" t="s">
        <v>3084</v>
      </c>
      <c r="E14" s="37" t="s">
        <v>3069</v>
      </c>
      <c r="F14" s="37" t="s">
        <v>385</v>
      </c>
      <c r="H14" s="37"/>
    </row>
    <row r="15" spans="1:8" s="38" customFormat="1" x14ac:dyDescent="0.3">
      <c r="A15" s="97">
        <v>42471</v>
      </c>
      <c r="B15" s="65" t="s">
        <v>2978</v>
      </c>
      <c r="C15" s="65" t="s">
        <v>2979</v>
      </c>
      <c r="D15" s="42" t="s">
        <v>3055</v>
      </c>
      <c r="E15" s="37" t="s">
        <v>3068</v>
      </c>
      <c r="F15" s="37" t="s">
        <v>1274</v>
      </c>
      <c r="G15" s="7"/>
      <c r="H15" s="7"/>
    </row>
    <row r="16" spans="1:8" s="38" customFormat="1" x14ac:dyDescent="0.3">
      <c r="A16" s="97">
        <v>42471</v>
      </c>
      <c r="B16" s="65" t="s">
        <v>2980</v>
      </c>
      <c r="C16" s="65" t="s">
        <v>2981</v>
      </c>
      <c r="D16" s="42" t="s">
        <v>3056</v>
      </c>
      <c r="E16" s="37" t="s">
        <v>3068</v>
      </c>
      <c r="F16" s="37" t="s">
        <v>1274</v>
      </c>
      <c r="G16" s="7"/>
      <c r="H16" s="7"/>
    </row>
    <row r="17" spans="1:8" s="38" customFormat="1" x14ac:dyDescent="0.3">
      <c r="A17" s="97">
        <v>42471</v>
      </c>
      <c r="B17" s="10" t="s">
        <v>2982</v>
      </c>
      <c r="C17" s="10" t="s">
        <v>2983</v>
      </c>
      <c r="D17" s="42" t="s">
        <v>3026</v>
      </c>
      <c r="E17" s="37" t="s">
        <v>3062</v>
      </c>
      <c r="F17" s="37" t="s">
        <v>1028</v>
      </c>
      <c r="G17" s="7"/>
      <c r="H17" s="7"/>
    </row>
    <row r="18" spans="1:8" s="38" customFormat="1" x14ac:dyDescent="0.3">
      <c r="A18" s="97">
        <v>42471</v>
      </c>
      <c r="B18" s="10" t="s">
        <v>2984</v>
      </c>
      <c r="C18" s="10" t="s">
        <v>2985</v>
      </c>
      <c r="D18" s="42" t="s">
        <v>3080</v>
      </c>
      <c r="E18" s="37" t="s">
        <v>3062</v>
      </c>
      <c r="F18" s="37" t="s">
        <v>1028</v>
      </c>
      <c r="G18" s="7"/>
      <c r="H18" s="7"/>
    </row>
    <row r="19" spans="1:8" s="38" customFormat="1" x14ac:dyDescent="0.3">
      <c r="A19" s="97">
        <v>42471</v>
      </c>
      <c r="B19" s="10" t="s">
        <v>2986</v>
      </c>
      <c r="C19" s="10" t="s">
        <v>2987</v>
      </c>
      <c r="D19" s="42" t="s">
        <v>3079</v>
      </c>
      <c r="E19" s="37" t="s">
        <v>3062</v>
      </c>
      <c r="F19" s="37" t="s">
        <v>1028</v>
      </c>
      <c r="G19" s="7"/>
      <c r="H19" s="7"/>
    </row>
    <row r="20" spans="1:8" s="38" customFormat="1" x14ac:dyDescent="0.3">
      <c r="A20" s="97">
        <v>42471</v>
      </c>
      <c r="B20" s="66" t="s">
        <v>2827</v>
      </c>
      <c r="C20" s="37" t="s">
        <v>2828</v>
      </c>
      <c r="D20" s="42" t="s">
        <v>3027</v>
      </c>
      <c r="E20" s="37" t="s">
        <v>413</v>
      </c>
      <c r="F20" s="7" t="s">
        <v>414</v>
      </c>
      <c r="H20" s="37"/>
    </row>
    <row r="21" spans="1:8" s="38" customFormat="1" x14ac:dyDescent="0.3">
      <c r="A21" s="97">
        <v>42471</v>
      </c>
      <c r="B21" s="66" t="s">
        <v>2829</v>
      </c>
      <c r="C21" s="37" t="s">
        <v>2830</v>
      </c>
      <c r="D21" s="42" t="s">
        <v>3028</v>
      </c>
      <c r="E21" s="37" t="s">
        <v>413</v>
      </c>
      <c r="F21" s="7" t="s">
        <v>414</v>
      </c>
      <c r="G21" s="7"/>
      <c r="H21" s="7"/>
    </row>
    <row r="22" spans="1:8" s="38" customFormat="1" x14ac:dyDescent="0.3">
      <c r="A22" s="97">
        <v>42471</v>
      </c>
      <c r="B22" s="66" t="s">
        <v>2831</v>
      </c>
      <c r="C22" s="37" t="s">
        <v>2832</v>
      </c>
      <c r="D22" s="42" t="s">
        <v>3029</v>
      </c>
      <c r="E22" s="37" t="s">
        <v>413</v>
      </c>
      <c r="F22" s="7" t="s">
        <v>414</v>
      </c>
      <c r="H22" s="37"/>
    </row>
    <row r="23" spans="1:8" s="38" customFormat="1" x14ac:dyDescent="0.3">
      <c r="A23" s="97">
        <v>42471</v>
      </c>
      <c r="B23" s="66" t="s">
        <v>2833</v>
      </c>
      <c r="C23" s="37" t="s">
        <v>2834</v>
      </c>
      <c r="D23" s="42" t="s">
        <v>3030</v>
      </c>
      <c r="E23" s="37" t="s">
        <v>413</v>
      </c>
      <c r="F23" s="7" t="s">
        <v>414</v>
      </c>
      <c r="G23" s="7"/>
      <c r="H23" s="7"/>
    </row>
    <row r="24" spans="1:8" s="38" customFormat="1" x14ac:dyDescent="0.3">
      <c r="A24" s="97">
        <v>42471</v>
      </c>
      <c r="B24" s="66" t="s">
        <v>2835</v>
      </c>
      <c r="C24" s="37" t="s">
        <v>2836</v>
      </c>
      <c r="D24" s="42" t="s">
        <v>3030</v>
      </c>
      <c r="E24" s="37" t="s">
        <v>413</v>
      </c>
      <c r="F24" s="7" t="s">
        <v>414</v>
      </c>
      <c r="G24" s="7"/>
      <c r="H24" s="7"/>
    </row>
    <row r="25" spans="1:8" s="38" customFormat="1" x14ac:dyDescent="0.3">
      <c r="A25" s="97">
        <v>42471</v>
      </c>
      <c r="B25" s="66" t="s">
        <v>2837</v>
      </c>
      <c r="C25" s="37" t="s">
        <v>2838</v>
      </c>
      <c r="D25" s="42" t="s">
        <v>3030</v>
      </c>
      <c r="E25" s="37" t="s">
        <v>413</v>
      </c>
      <c r="F25" s="7" t="s">
        <v>414</v>
      </c>
      <c r="G25" s="7"/>
      <c r="H25" s="7"/>
    </row>
    <row r="26" spans="1:8" s="38" customFormat="1" x14ac:dyDescent="0.3">
      <c r="A26" s="97">
        <v>42471</v>
      </c>
      <c r="B26" s="66" t="s">
        <v>2839</v>
      </c>
      <c r="C26" s="37" t="s">
        <v>2840</v>
      </c>
      <c r="D26" s="42" t="s">
        <v>3087</v>
      </c>
      <c r="E26" s="37" t="s">
        <v>413</v>
      </c>
      <c r="F26" s="7" t="s">
        <v>3023</v>
      </c>
      <c r="G26" s="7"/>
      <c r="H26" s="7"/>
    </row>
    <row r="27" spans="1:8" s="38" customFormat="1" x14ac:dyDescent="0.3">
      <c r="A27" s="97">
        <v>42471</v>
      </c>
      <c r="B27" s="66" t="s">
        <v>2841</v>
      </c>
      <c r="C27" s="37" t="s">
        <v>2842</v>
      </c>
      <c r="D27" s="42" t="s">
        <v>3087</v>
      </c>
      <c r="E27" s="37" t="s">
        <v>413</v>
      </c>
      <c r="F27" s="7" t="s">
        <v>3023</v>
      </c>
      <c r="G27" s="7"/>
      <c r="H27" s="7"/>
    </row>
    <row r="28" spans="1:8" s="38" customFormat="1" x14ac:dyDescent="0.3">
      <c r="A28" s="97">
        <v>42471</v>
      </c>
      <c r="B28" s="66" t="s">
        <v>2843</v>
      </c>
      <c r="C28" s="37" t="s">
        <v>2844</v>
      </c>
      <c r="D28" s="42" t="s">
        <v>3087</v>
      </c>
      <c r="E28" s="37" t="s">
        <v>413</v>
      </c>
      <c r="F28" s="7" t="s">
        <v>3023</v>
      </c>
      <c r="G28" s="7"/>
      <c r="H28" s="7"/>
    </row>
    <row r="29" spans="1:8" s="38" customFormat="1" x14ac:dyDescent="0.3">
      <c r="A29" s="97">
        <v>42471</v>
      </c>
      <c r="B29" s="66" t="s">
        <v>2845</v>
      </c>
      <c r="C29" s="37" t="s">
        <v>2846</v>
      </c>
      <c r="D29" s="42" t="s">
        <v>3086</v>
      </c>
      <c r="E29" s="37" t="s">
        <v>413</v>
      </c>
      <c r="F29" s="7" t="s">
        <v>3024</v>
      </c>
      <c r="H29" s="37"/>
    </row>
    <row r="30" spans="1:8" s="38" customFormat="1" x14ac:dyDescent="0.3">
      <c r="A30" s="97">
        <v>42471</v>
      </c>
      <c r="B30" s="66" t="s">
        <v>2847</v>
      </c>
      <c r="C30" s="37" t="s">
        <v>2848</v>
      </c>
      <c r="D30" s="42" t="s">
        <v>3086</v>
      </c>
      <c r="E30" s="37" t="s">
        <v>413</v>
      </c>
      <c r="F30" s="7" t="s">
        <v>3024</v>
      </c>
      <c r="G30" s="7"/>
      <c r="H30" s="7"/>
    </row>
    <row r="31" spans="1:8" s="38" customFormat="1" x14ac:dyDescent="0.3">
      <c r="A31" s="97">
        <v>42471</v>
      </c>
      <c r="B31" s="66" t="s">
        <v>2849</v>
      </c>
      <c r="C31" s="37" t="s">
        <v>2850</v>
      </c>
      <c r="D31" s="42" t="s">
        <v>3086</v>
      </c>
      <c r="E31" s="37" t="s">
        <v>413</v>
      </c>
      <c r="F31" s="7" t="s">
        <v>3024</v>
      </c>
      <c r="H31" s="37"/>
    </row>
    <row r="32" spans="1:8" s="38" customFormat="1" x14ac:dyDescent="0.3">
      <c r="A32" s="97">
        <v>42471</v>
      </c>
      <c r="B32" s="66" t="s">
        <v>2851</v>
      </c>
      <c r="C32" s="37" t="s">
        <v>2852</v>
      </c>
      <c r="D32" s="42" t="s">
        <v>3031</v>
      </c>
      <c r="E32" s="37" t="s">
        <v>413</v>
      </c>
      <c r="F32" s="7" t="s">
        <v>414</v>
      </c>
      <c r="G32" s="7"/>
      <c r="H32" s="7"/>
    </row>
    <row r="33" spans="1:8" s="38" customFormat="1" x14ac:dyDescent="0.3">
      <c r="A33" s="97">
        <v>42471</v>
      </c>
      <c r="B33" s="66" t="s">
        <v>2853</v>
      </c>
      <c r="C33" s="37" t="s">
        <v>2854</v>
      </c>
      <c r="D33" s="42" t="s">
        <v>3032</v>
      </c>
      <c r="E33" s="37" t="s">
        <v>413</v>
      </c>
      <c r="F33" s="7" t="s">
        <v>414</v>
      </c>
      <c r="G33" s="7"/>
      <c r="H33" s="7"/>
    </row>
    <row r="34" spans="1:8" s="38" customFormat="1" x14ac:dyDescent="0.3">
      <c r="A34" s="97">
        <v>42471</v>
      </c>
      <c r="B34" s="66" t="s">
        <v>2855</v>
      </c>
      <c r="C34" s="37" t="s">
        <v>2856</v>
      </c>
      <c r="D34" s="42" t="s">
        <v>3033</v>
      </c>
      <c r="E34" s="37" t="s">
        <v>413</v>
      </c>
      <c r="F34" s="7" t="s">
        <v>414</v>
      </c>
      <c r="H34" s="37"/>
    </row>
    <row r="35" spans="1:8" s="38" customFormat="1" x14ac:dyDescent="0.3">
      <c r="A35" s="97">
        <v>42471</v>
      </c>
      <c r="B35" s="66" t="s">
        <v>2857</v>
      </c>
      <c r="C35" s="37" t="s">
        <v>2858</v>
      </c>
      <c r="D35" s="42" t="s">
        <v>3034</v>
      </c>
      <c r="E35" s="37" t="s">
        <v>413</v>
      </c>
      <c r="F35" s="7" t="s">
        <v>414</v>
      </c>
      <c r="G35" s="7"/>
      <c r="H35" s="7"/>
    </row>
    <row r="36" spans="1:8" s="38" customFormat="1" x14ac:dyDescent="0.3">
      <c r="A36" s="97">
        <v>42471</v>
      </c>
      <c r="B36" s="66" t="s">
        <v>2859</v>
      </c>
      <c r="C36" s="37" t="s">
        <v>2860</v>
      </c>
      <c r="D36" s="42" t="s">
        <v>3034</v>
      </c>
      <c r="E36" s="37" t="s">
        <v>413</v>
      </c>
      <c r="F36" s="7" t="s">
        <v>414</v>
      </c>
      <c r="G36" s="7"/>
      <c r="H36" s="7"/>
    </row>
    <row r="37" spans="1:8" s="38" customFormat="1" x14ac:dyDescent="0.3">
      <c r="A37" s="97">
        <v>42471</v>
      </c>
      <c r="B37" s="66" t="s">
        <v>2861</v>
      </c>
      <c r="C37" s="37" t="s">
        <v>2862</v>
      </c>
      <c r="D37" s="42" t="s">
        <v>3034</v>
      </c>
      <c r="E37" s="37" t="s">
        <v>413</v>
      </c>
      <c r="F37" s="7" t="s">
        <v>414</v>
      </c>
      <c r="G37" s="7"/>
      <c r="H37" s="7"/>
    </row>
    <row r="38" spans="1:8" s="38" customFormat="1" x14ac:dyDescent="0.3">
      <c r="A38" s="97">
        <v>42471</v>
      </c>
      <c r="B38" s="66" t="s">
        <v>2863</v>
      </c>
      <c r="C38" s="37" t="s">
        <v>2864</v>
      </c>
      <c r="D38" s="42" t="s">
        <v>3033</v>
      </c>
      <c r="E38" s="37" t="s">
        <v>413</v>
      </c>
      <c r="F38" s="7" t="s">
        <v>414</v>
      </c>
      <c r="H38" s="37"/>
    </row>
    <row r="39" spans="1:8" s="38" customFormat="1" x14ac:dyDescent="0.3">
      <c r="A39" s="97">
        <v>42471</v>
      </c>
      <c r="B39" s="66" t="s">
        <v>2865</v>
      </c>
      <c r="C39" s="37" t="s">
        <v>2866</v>
      </c>
      <c r="D39" s="42" t="s">
        <v>3035</v>
      </c>
      <c r="E39" s="37" t="s">
        <v>413</v>
      </c>
      <c r="F39" s="7" t="s">
        <v>414</v>
      </c>
      <c r="G39" s="7"/>
      <c r="H39" s="7"/>
    </row>
    <row r="40" spans="1:8" s="38" customFormat="1" x14ac:dyDescent="0.3">
      <c r="A40" s="97">
        <v>42471</v>
      </c>
      <c r="B40" s="66" t="s">
        <v>2867</v>
      </c>
      <c r="C40" s="37" t="s">
        <v>2868</v>
      </c>
      <c r="D40" s="42" t="s">
        <v>3035</v>
      </c>
      <c r="E40" s="37" t="s">
        <v>413</v>
      </c>
      <c r="F40" s="7" t="s">
        <v>414</v>
      </c>
      <c r="G40" s="7"/>
      <c r="H40" s="7"/>
    </row>
    <row r="41" spans="1:8" s="38" customFormat="1" x14ac:dyDescent="0.3">
      <c r="A41" s="97">
        <v>42471</v>
      </c>
      <c r="B41" s="66" t="s">
        <v>2869</v>
      </c>
      <c r="C41" s="37" t="s">
        <v>2870</v>
      </c>
      <c r="D41" s="42" t="s">
        <v>3035</v>
      </c>
      <c r="E41" s="37" t="s">
        <v>413</v>
      </c>
      <c r="F41" s="7" t="s">
        <v>414</v>
      </c>
      <c r="G41" s="7"/>
      <c r="H41" s="7"/>
    </row>
    <row r="42" spans="1:8" s="38" customFormat="1" x14ac:dyDescent="0.3">
      <c r="A42" s="97">
        <v>42471</v>
      </c>
      <c r="B42" s="66" t="s">
        <v>2871</v>
      </c>
      <c r="C42" s="37" t="s">
        <v>2872</v>
      </c>
      <c r="D42" s="42" t="s">
        <v>3033</v>
      </c>
      <c r="E42" s="37" t="s">
        <v>413</v>
      </c>
      <c r="F42" s="7" t="s">
        <v>414</v>
      </c>
      <c r="H42" s="37"/>
    </row>
    <row r="43" spans="1:8" s="38" customFormat="1" x14ac:dyDescent="0.3">
      <c r="A43" s="97">
        <v>42471</v>
      </c>
      <c r="B43" s="66" t="s">
        <v>2873</v>
      </c>
      <c r="C43" s="37" t="s">
        <v>2874</v>
      </c>
      <c r="D43" s="42" t="s">
        <v>3085</v>
      </c>
      <c r="E43" s="37" t="s">
        <v>413</v>
      </c>
      <c r="F43" s="7" t="s">
        <v>3024</v>
      </c>
      <c r="G43" s="7"/>
      <c r="H43" s="7"/>
    </row>
    <row r="44" spans="1:8" s="38" customFormat="1" x14ac:dyDescent="0.3">
      <c r="A44" s="97">
        <v>42471</v>
      </c>
      <c r="B44" s="66" t="s">
        <v>2875</v>
      </c>
      <c r="C44" s="37" t="s">
        <v>2876</v>
      </c>
      <c r="D44" s="42" t="s">
        <v>3085</v>
      </c>
      <c r="E44" s="37" t="s">
        <v>413</v>
      </c>
      <c r="F44" s="7" t="s">
        <v>3024</v>
      </c>
      <c r="G44" s="7"/>
      <c r="H44" s="7"/>
    </row>
    <row r="45" spans="1:8" s="38" customFormat="1" x14ac:dyDescent="0.3">
      <c r="A45" s="97">
        <v>42471</v>
      </c>
      <c r="B45" s="66" t="s">
        <v>2877</v>
      </c>
      <c r="C45" s="37" t="s">
        <v>2878</v>
      </c>
      <c r="D45" s="42" t="s">
        <v>3085</v>
      </c>
      <c r="E45" s="37" t="s">
        <v>413</v>
      </c>
      <c r="F45" s="7" t="s">
        <v>3024</v>
      </c>
      <c r="G45" s="7"/>
      <c r="H45" s="7"/>
    </row>
    <row r="46" spans="1:8" s="38" customFormat="1" x14ac:dyDescent="0.3">
      <c r="A46" s="97">
        <v>42471</v>
      </c>
      <c r="B46" s="66" t="s">
        <v>2879</v>
      </c>
      <c r="C46" s="37" t="s">
        <v>2880</v>
      </c>
      <c r="D46" s="42" t="s">
        <v>3036</v>
      </c>
      <c r="E46" s="37" t="s">
        <v>413</v>
      </c>
      <c r="F46" s="7" t="s">
        <v>414</v>
      </c>
      <c r="G46" s="7"/>
      <c r="H46" s="7"/>
    </row>
    <row r="47" spans="1:8" s="38" customFormat="1" x14ac:dyDescent="0.3">
      <c r="A47" s="97">
        <v>42471</v>
      </c>
      <c r="B47" s="66" t="s">
        <v>2881</v>
      </c>
      <c r="C47" s="37" t="s">
        <v>2882</v>
      </c>
      <c r="D47" s="42" t="s">
        <v>3037</v>
      </c>
      <c r="E47" s="37" t="s">
        <v>3072</v>
      </c>
      <c r="F47" s="7" t="s">
        <v>419</v>
      </c>
      <c r="G47" s="7"/>
      <c r="H47" s="7"/>
    </row>
    <row r="48" spans="1:8" s="38" customFormat="1" x14ac:dyDescent="0.3">
      <c r="A48" s="97">
        <v>42471</v>
      </c>
      <c r="B48" s="66" t="s">
        <v>2883</v>
      </c>
      <c r="C48" s="37" t="s">
        <v>2884</v>
      </c>
      <c r="D48" s="42" t="s">
        <v>3038</v>
      </c>
      <c r="E48" s="37" t="s">
        <v>3072</v>
      </c>
      <c r="F48" s="7" t="s">
        <v>419</v>
      </c>
      <c r="G48" s="7"/>
      <c r="H48" s="7"/>
    </row>
    <row r="49" spans="1:8" s="38" customFormat="1" x14ac:dyDescent="0.3">
      <c r="A49" s="97">
        <v>42471</v>
      </c>
      <c r="B49" s="66" t="s">
        <v>2885</v>
      </c>
      <c r="C49" s="37" t="s">
        <v>2886</v>
      </c>
      <c r="D49" s="42" t="s">
        <v>3057</v>
      </c>
      <c r="E49" s="37" t="s">
        <v>3072</v>
      </c>
      <c r="F49" s="7" t="s">
        <v>419</v>
      </c>
      <c r="G49" s="7"/>
      <c r="H49" s="7"/>
    </row>
    <row r="50" spans="1:8" s="38" customFormat="1" x14ac:dyDescent="0.3">
      <c r="A50" s="97">
        <v>42471</v>
      </c>
      <c r="B50" s="66" t="s">
        <v>2887</v>
      </c>
      <c r="C50" s="37" t="s">
        <v>2888</v>
      </c>
      <c r="D50" s="42" t="s">
        <v>3039</v>
      </c>
      <c r="E50" s="37" t="s">
        <v>3072</v>
      </c>
      <c r="F50" s="7" t="s">
        <v>419</v>
      </c>
      <c r="G50" s="7"/>
      <c r="H50" s="7"/>
    </row>
    <row r="51" spans="1:8" s="38" customFormat="1" x14ac:dyDescent="0.3">
      <c r="A51" s="97">
        <v>42471</v>
      </c>
      <c r="B51" s="66" t="s">
        <v>2889</v>
      </c>
      <c r="C51" s="37" t="s">
        <v>2890</v>
      </c>
      <c r="D51" s="42" t="s">
        <v>3040</v>
      </c>
      <c r="E51" s="37" t="s">
        <v>3072</v>
      </c>
      <c r="F51" s="7" t="s">
        <v>419</v>
      </c>
      <c r="G51" s="7"/>
      <c r="H51" s="7"/>
    </row>
    <row r="52" spans="1:8" s="38" customFormat="1" x14ac:dyDescent="0.3">
      <c r="A52" s="97">
        <v>42471</v>
      </c>
      <c r="B52" s="66" t="s">
        <v>2891</v>
      </c>
      <c r="C52" s="37" t="s">
        <v>2892</v>
      </c>
      <c r="D52" s="42" t="s">
        <v>3041</v>
      </c>
      <c r="E52" s="37" t="s">
        <v>3072</v>
      </c>
      <c r="F52" s="7" t="s">
        <v>419</v>
      </c>
      <c r="G52" s="7"/>
      <c r="H52" s="7"/>
    </row>
    <row r="53" spans="1:8" s="38" customFormat="1" x14ac:dyDescent="0.3">
      <c r="A53" s="97">
        <v>42471</v>
      </c>
      <c r="B53" s="66" t="s">
        <v>2893</v>
      </c>
      <c r="C53" s="37" t="s">
        <v>2894</v>
      </c>
      <c r="D53" s="42" t="s">
        <v>3042</v>
      </c>
      <c r="E53" s="37" t="s">
        <v>3072</v>
      </c>
      <c r="F53" s="7" t="s">
        <v>419</v>
      </c>
      <c r="G53" s="7"/>
      <c r="H53" s="7"/>
    </row>
    <row r="54" spans="1:8" s="38" customFormat="1" x14ac:dyDescent="0.3">
      <c r="A54" s="97">
        <v>42471</v>
      </c>
      <c r="B54" s="66" t="s">
        <v>2895</v>
      </c>
      <c r="C54" s="37" t="s">
        <v>2896</v>
      </c>
      <c r="D54" s="42" t="s">
        <v>3058</v>
      </c>
      <c r="E54" s="37" t="s">
        <v>3072</v>
      </c>
      <c r="F54" s="7" t="s">
        <v>419</v>
      </c>
      <c r="G54" s="7"/>
      <c r="H54" s="7"/>
    </row>
    <row r="55" spans="1:8" s="38" customFormat="1" x14ac:dyDescent="0.3">
      <c r="A55" s="97">
        <v>42471</v>
      </c>
      <c r="B55" s="66" t="s">
        <v>2897</v>
      </c>
      <c r="C55" s="37" t="s">
        <v>2898</v>
      </c>
      <c r="D55" s="42" t="s">
        <v>3089</v>
      </c>
      <c r="E55" s="37" t="s">
        <v>3071</v>
      </c>
      <c r="F55" s="7" t="s">
        <v>46</v>
      </c>
      <c r="G55" s="7"/>
      <c r="H55" s="7"/>
    </row>
    <row r="56" spans="1:8" s="38" customFormat="1" x14ac:dyDescent="0.3">
      <c r="A56" s="97">
        <v>42471</v>
      </c>
      <c r="B56" s="66" t="s">
        <v>2899</v>
      </c>
      <c r="C56" s="37" t="s">
        <v>2900</v>
      </c>
      <c r="D56" s="42" t="s">
        <v>3043</v>
      </c>
      <c r="E56" s="37" t="s">
        <v>3063</v>
      </c>
      <c r="F56" s="7" t="s">
        <v>41</v>
      </c>
      <c r="G56" s="7"/>
      <c r="H56" s="7"/>
    </row>
    <row r="57" spans="1:8" s="38" customFormat="1" x14ac:dyDescent="0.3">
      <c r="A57" s="97">
        <v>42471</v>
      </c>
      <c r="B57" s="66" t="s">
        <v>2901</v>
      </c>
      <c r="C57" s="37" t="s">
        <v>2902</v>
      </c>
      <c r="D57" s="42" t="s">
        <v>3044</v>
      </c>
      <c r="E57" s="37" t="s">
        <v>3071</v>
      </c>
      <c r="F57" s="7" t="s">
        <v>432</v>
      </c>
      <c r="G57" s="7"/>
      <c r="H57" s="7"/>
    </row>
    <row r="58" spans="1:8" s="38" customFormat="1" x14ac:dyDescent="0.3">
      <c r="A58" s="97">
        <v>42471</v>
      </c>
      <c r="B58" s="66" t="s">
        <v>2823</v>
      </c>
      <c r="C58" s="37" t="s">
        <v>2824</v>
      </c>
      <c r="D58" s="42" t="s">
        <v>3090</v>
      </c>
      <c r="E58" s="37" t="s">
        <v>3070</v>
      </c>
      <c r="F58" s="7" t="s">
        <v>1222</v>
      </c>
      <c r="G58" s="7"/>
      <c r="H58" s="7"/>
    </row>
    <row r="59" spans="1:8" s="38" customFormat="1" x14ac:dyDescent="0.3">
      <c r="A59" s="97">
        <v>42471</v>
      </c>
      <c r="B59" s="66" t="s">
        <v>2903</v>
      </c>
      <c r="C59" s="37" t="s">
        <v>2904</v>
      </c>
      <c r="D59" s="42" t="s">
        <v>3059</v>
      </c>
      <c r="E59" s="37" t="s">
        <v>3070</v>
      </c>
      <c r="F59" s="7" t="s">
        <v>46</v>
      </c>
      <c r="G59" s="7"/>
      <c r="H59" s="7"/>
    </row>
    <row r="60" spans="1:8" s="38" customFormat="1" x14ac:dyDescent="0.3">
      <c r="A60" s="97">
        <v>42471</v>
      </c>
      <c r="B60" s="66" t="s">
        <v>2905</v>
      </c>
      <c r="C60" s="37" t="s">
        <v>2906</v>
      </c>
      <c r="D60" s="42" t="s">
        <v>3045</v>
      </c>
      <c r="E60" s="37" t="s">
        <v>3070</v>
      </c>
      <c r="F60" s="7" t="s">
        <v>46</v>
      </c>
      <c r="G60" s="7"/>
      <c r="H60" s="7"/>
    </row>
    <row r="61" spans="1:8" s="38" customFormat="1" x14ac:dyDescent="0.3">
      <c r="A61" s="97">
        <v>42471</v>
      </c>
      <c r="B61" s="66" t="s">
        <v>2907</v>
      </c>
      <c r="C61" s="37" t="s">
        <v>2908</v>
      </c>
      <c r="D61" s="42" t="s">
        <v>3046</v>
      </c>
      <c r="E61" s="37" t="s">
        <v>3070</v>
      </c>
      <c r="F61" s="7" t="s">
        <v>1222</v>
      </c>
      <c r="G61" s="7"/>
      <c r="H61" s="7"/>
    </row>
    <row r="62" spans="1:8" s="38" customFormat="1" x14ac:dyDescent="0.3">
      <c r="A62" s="97">
        <v>42471</v>
      </c>
      <c r="B62" s="66" t="s">
        <v>2909</v>
      </c>
      <c r="C62" s="37" t="s">
        <v>2910</v>
      </c>
      <c r="D62" s="42" t="s">
        <v>3088</v>
      </c>
      <c r="E62" s="37" t="s">
        <v>3064</v>
      </c>
      <c r="F62" s="7" t="s">
        <v>46</v>
      </c>
      <c r="H62" s="37"/>
    </row>
    <row r="63" spans="1:8" s="38" customFormat="1" x14ac:dyDescent="0.3">
      <c r="A63" s="97">
        <v>42471</v>
      </c>
      <c r="B63" s="66" t="s">
        <v>2911</v>
      </c>
      <c r="C63" s="37" t="s">
        <v>2912</v>
      </c>
      <c r="D63" s="42" t="s">
        <v>3047</v>
      </c>
      <c r="E63" s="37" t="s">
        <v>1797</v>
      </c>
      <c r="F63" s="7" t="s">
        <v>46</v>
      </c>
      <c r="G63" s="7"/>
      <c r="H63" s="7"/>
    </row>
    <row r="64" spans="1:8" s="38" customFormat="1" x14ac:dyDescent="0.3">
      <c r="A64" s="97">
        <v>42471</v>
      </c>
      <c r="B64" s="66" t="s">
        <v>2913</v>
      </c>
      <c r="C64" s="37" t="s">
        <v>2914</v>
      </c>
      <c r="D64" s="42" t="s">
        <v>3047</v>
      </c>
      <c r="E64" s="37" t="s">
        <v>1797</v>
      </c>
      <c r="F64" s="7" t="s">
        <v>46</v>
      </c>
      <c r="G64" s="7"/>
      <c r="H64" s="7"/>
    </row>
    <row r="65" spans="1:8" s="38" customFormat="1" x14ac:dyDescent="0.3">
      <c r="A65" s="97">
        <v>42471</v>
      </c>
      <c r="B65" s="66" t="s">
        <v>2915</v>
      </c>
      <c r="C65" s="37" t="s">
        <v>2916</v>
      </c>
      <c r="D65" s="42" t="s">
        <v>3047</v>
      </c>
      <c r="E65" s="37" t="s">
        <v>1797</v>
      </c>
      <c r="F65" s="7" t="s">
        <v>46</v>
      </c>
      <c r="G65" s="7"/>
      <c r="H65" s="7"/>
    </row>
    <row r="66" spans="1:8" s="38" customFormat="1" x14ac:dyDescent="0.3">
      <c r="A66" s="97">
        <v>42471</v>
      </c>
      <c r="B66" s="66" t="s">
        <v>2917</v>
      </c>
      <c r="C66" s="37" t="s">
        <v>2918</v>
      </c>
      <c r="D66" s="42" t="s">
        <v>3048</v>
      </c>
      <c r="E66" s="37" t="s">
        <v>3065</v>
      </c>
      <c r="F66" s="7" t="s">
        <v>46</v>
      </c>
      <c r="H66" s="37"/>
    </row>
    <row r="67" spans="1:8" s="38" customFormat="1" x14ac:dyDescent="0.3">
      <c r="A67" s="97">
        <v>42471</v>
      </c>
      <c r="B67" s="66" t="s">
        <v>2825</v>
      </c>
      <c r="C67" s="37" t="s">
        <v>2826</v>
      </c>
      <c r="D67" s="69" t="s">
        <v>3091</v>
      </c>
      <c r="E67" s="37" t="s">
        <v>3066</v>
      </c>
      <c r="F67" s="7" t="s">
        <v>399</v>
      </c>
      <c r="G67" s="7"/>
      <c r="H67" s="7"/>
    </row>
    <row r="68" spans="1:8" s="38" customFormat="1" x14ac:dyDescent="0.3">
      <c r="A68" s="97">
        <v>42471</v>
      </c>
      <c r="B68" s="66" t="s">
        <v>2919</v>
      </c>
      <c r="C68" s="37" t="s">
        <v>2920</v>
      </c>
      <c r="D68" s="42" t="s">
        <v>3049</v>
      </c>
      <c r="E68" s="37" t="s">
        <v>436</v>
      </c>
      <c r="F68" s="7" t="s">
        <v>2013</v>
      </c>
      <c r="G68" s="7"/>
      <c r="H68" s="7"/>
    </row>
    <row r="69" spans="1:8" s="38" customFormat="1" x14ac:dyDescent="0.3">
      <c r="A69" s="97">
        <v>42471</v>
      </c>
      <c r="B69" s="66" t="s">
        <v>2921</v>
      </c>
      <c r="C69" s="37" t="s">
        <v>2922</v>
      </c>
      <c r="D69" s="42" t="s">
        <v>3049</v>
      </c>
      <c r="E69" s="37" t="s">
        <v>436</v>
      </c>
      <c r="F69" s="7" t="s">
        <v>2013</v>
      </c>
      <c r="G69" s="7"/>
      <c r="H69" s="7"/>
    </row>
    <row r="70" spans="1:8" s="38" customFormat="1" x14ac:dyDescent="0.3">
      <c r="A70" s="97">
        <v>42471</v>
      </c>
      <c r="B70" s="66" t="s">
        <v>2923</v>
      </c>
      <c r="C70" s="37" t="s">
        <v>2924</v>
      </c>
      <c r="D70" s="42" t="s">
        <v>3049</v>
      </c>
      <c r="E70" s="37" t="s">
        <v>436</v>
      </c>
      <c r="F70" s="7" t="s">
        <v>2013</v>
      </c>
      <c r="G70" s="7"/>
      <c r="H70" s="7"/>
    </row>
    <row r="71" spans="1:8" s="38" customFormat="1" x14ac:dyDescent="0.3">
      <c r="A71" s="97">
        <v>42471</v>
      </c>
      <c r="B71" s="66" t="s">
        <v>2925</v>
      </c>
      <c r="C71" s="37" t="s">
        <v>2926</v>
      </c>
      <c r="D71" s="42" t="s">
        <v>3060</v>
      </c>
      <c r="E71" s="37" t="s">
        <v>2559</v>
      </c>
      <c r="F71" s="7" t="s">
        <v>432</v>
      </c>
      <c r="G71" s="7"/>
      <c r="H71" s="7"/>
    </row>
    <row r="72" spans="1:8" s="38" customFormat="1" x14ac:dyDescent="0.3">
      <c r="A72" s="97">
        <v>42471</v>
      </c>
      <c r="B72" s="66" t="s">
        <v>2927</v>
      </c>
      <c r="C72" s="37" t="s">
        <v>2928</v>
      </c>
      <c r="D72" s="42" t="s">
        <v>3050</v>
      </c>
      <c r="E72" s="37" t="s">
        <v>3067</v>
      </c>
      <c r="F72" s="7" t="s">
        <v>1260</v>
      </c>
      <c r="H72" s="37"/>
    </row>
    <row r="73" spans="1:8" s="38" customFormat="1" x14ac:dyDescent="0.3">
      <c r="A73" s="97">
        <v>42471</v>
      </c>
      <c r="B73" s="28" t="s">
        <v>2935</v>
      </c>
      <c r="C73" s="65" t="s">
        <v>2936</v>
      </c>
      <c r="D73" s="42" t="s">
        <v>3053</v>
      </c>
      <c r="E73" s="42" t="s">
        <v>3025</v>
      </c>
      <c r="F73" s="7" t="s">
        <v>399</v>
      </c>
      <c r="G73" s="7"/>
      <c r="H73" s="7"/>
    </row>
    <row r="74" spans="1:8" s="38" customFormat="1" x14ac:dyDescent="0.3">
      <c r="A74" s="97">
        <v>42471</v>
      </c>
      <c r="B74" s="28" t="s">
        <v>2937</v>
      </c>
      <c r="C74" s="65" t="s">
        <v>2938</v>
      </c>
      <c r="D74" s="42" t="s">
        <v>3053</v>
      </c>
      <c r="E74" s="42" t="s">
        <v>3025</v>
      </c>
      <c r="F74" s="7" t="s">
        <v>399</v>
      </c>
      <c r="G74" s="7"/>
      <c r="H74" s="7"/>
    </row>
    <row r="75" spans="1:8" s="38" customFormat="1" x14ac:dyDescent="0.3">
      <c r="A75" s="97">
        <v>42471</v>
      </c>
      <c r="B75" s="28" t="s">
        <v>2939</v>
      </c>
      <c r="C75" s="65" t="s">
        <v>2940</v>
      </c>
      <c r="D75" s="42" t="s">
        <v>3053</v>
      </c>
      <c r="E75" s="42" t="s">
        <v>3025</v>
      </c>
      <c r="F75" s="7" t="s">
        <v>399</v>
      </c>
      <c r="G75" s="7"/>
      <c r="H75" s="7"/>
    </row>
    <row r="76" spans="1:8" s="38" customFormat="1" x14ac:dyDescent="0.3">
      <c r="A76" s="97">
        <v>42471</v>
      </c>
      <c r="B76" s="28" t="s">
        <v>2941</v>
      </c>
      <c r="C76" s="65" t="s">
        <v>2942</v>
      </c>
      <c r="D76" s="42" t="s">
        <v>3053</v>
      </c>
      <c r="E76" s="42" t="s">
        <v>3025</v>
      </c>
      <c r="F76" s="7" t="s">
        <v>399</v>
      </c>
      <c r="G76" s="7"/>
      <c r="H76" s="7"/>
    </row>
    <row r="77" spans="1:8" s="38" customFormat="1" x14ac:dyDescent="0.3">
      <c r="A77" s="97">
        <v>42471</v>
      </c>
      <c r="B77" s="28" t="s">
        <v>2943</v>
      </c>
      <c r="C77" s="65" t="s">
        <v>2944</v>
      </c>
      <c r="D77" s="42" t="s">
        <v>3053</v>
      </c>
      <c r="E77" s="42" t="s">
        <v>3025</v>
      </c>
      <c r="F77" s="7" t="s">
        <v>399</v>
      </c>
      <c r="G77" s="7"/>
      <c r="H77" s="7"/>
    </row>
    <row r="78" spans="1:8" s="38" customFormat="1" x14ac:dyDescent="0.3">
      <c r="A78" s="97">
        <v>42471</v>
      </c>
      <c r="B78" s="28" t="s">
        <v>2945</v>
      </c>
      <c r="C78" s="65" t="s">
        <v>2946</v>
      </c>
      <c r="D78" s="42" t="s">
        <v>3054</v>
      </c>
      <c r="E78" s="42" t="s">
        <v>3025</v>
      </c>
      <c r="F78" s="7" t="s">
        <v>399</v>
      </c>
      <c r="G78" s="7"/>
      <c r="H78" s="7"/>
    </row>
    <row r="79" spans="1:8" s="38" customFormat="1" x14ac:dyDescent="0.3">
      <c r="A79" s="97">
        <v>42471</v>
      </c>
      <c r="B79" s="28" t="s">
        <v>2947</v>
      </c>
      <c r="C79" s="65" t="s">
        <v>2948</v>
      </c>
      <c r="D79" s="42" t="s">
        <v>3054</v>
      </c>
      <c r="E79" s="42" t="s">
        <v>3025</v>
      </c>
      <c r="F79" s="7" t="s">
        <v>399</v>
      </c>
      <c r="G79" s="7"/>
      <c r="H79" s="7"/>
    </row>
    <row r="80" spans="1:8" s="38" customFormat="1" x14ac:dyDescent="0.3">
      <c r="A80" s="97">
        <v>42471</v>
      </c>
      <c r="B80" s="28" t="s">
        <v>2949</v>
      </c>
      <c r="C80" s="65" t="s">
        <v>2950</v>
      </c>
      <c r="D80" s="42" t="s">
        <v>3054</v>
      </c>
      <c r="E80" s="42" t="s">
        <v>3025</v>
      </c>
      <c r="F80" s="7" t="s">
        <v>399</v>
      </c>
      <c r="G80" s="7"/>
      <c r="H80" s="7"/>
    </row>
    <row r="81" spans="1:8" s="38" customFormat="1" x14ac:dyDescent="0.3">
      <c r="A81" s="97">
        <v>42471</v>
      </c>
      <c r="B81" s="28" t="s">
        <v>2951</v>
      </c>
      <c r="C81" s="65" t="s">
        <v>2952</v>
      </c>
      <c r="D81" s="42" t="s">
        <v>3054</v>
      </c>
      <c r="E81" s="42" t="s">
        <v>3025</v>
      </c>
      <c r="F81" s="7" t="s">
        <v>399</v>
      </c>
      <c r="G81" s="7"/>
      <c r="H81" s="7"/>
    </row>
    <row r="82" spans="1:8" s="38" customFormat="1" x14ac:dyDescent="0.3">
      <c r="A82" s="97">
        <v>42471</v>
      </c>
      <c r="B82" s="28" t="s">
        <v>2953</v>
      </c>
      <c r="C82" s="65" t="s">
        <v>2954</v>
      </c>
      <c r="D82" s="42" t="s">
        <v>3054</v>
      </c>
      <c r="E82" s="42" t="s">
        <v>3025</v>
      </c>
      <c r="F82" s="7" t="s">
        <v>399</v>
      </c>
      <c r="G82" s="7"/>
      <c r="H82" s="7"/>
    </row>
    <row r="83" spans="1:8" s="38" customFormat="1" x14ac:dyDescent="0.3">
      <c r="A83" s="104">
        <v>42535</v>
      </c>
      <c r="B83" s="70" t="s">
        <v>3146</v>
      </c>
      <c r="C83" s="71" t="s">
        <v>3147</v>
      </c>
      <c r="D83" s="72" t="s">
        <v>3148</v>
      </c>
      <c r="E83" s="72" t="s">
        <v>3149</v>
      </c>
      <c r="F83" s="73" t="s">
        <v>3150</v>
      </c>
      <c r="G83" s="7"/>
      <c r="H83" s="7"/>
    </row>
    <row r="84" spans="1:8" s="38" customFormat="1" x14ac:dyDescent="0.3">
      <c r="A84" s="102">
        <v>42647</v>
      </c>
      <c r="B84" s="79" t="s">
        <v>3254</v>
      </c>
      <c r="C84" s="80" t="s">
        <v>3255</v>
      </c>
      <c r="D84" s="81" t="s">
        <v>3306</v>
      </c>
      <c r="E84" s="81" t="s">
        <v>3307</v>
      </c>
      <c r="F84" s="20" t="s">
        <v>46</v>
      </c>
      <c r="G84" s="7"/>
      <c r="H84" s="7"/>
    </row>
    <row r="85" spans="1:8" s="38" customFormat="1" x14ac:dyDescent="0.3">
      <c r="A85" s="102">
        <v>42647</v>
      </c>
      <c r="B85" s="79" t="s">
        <v>3256</v>
      </c>
      <c r="C85" s="80" t="s">
        <v>3257</v>
      </c>
      <c r="D85" s="81" t="s">
        <v>3308</v>
      </c>
      <c r="E85" s="81" t="s">
        <v>1868</v>
      </c>
      <c r="F85" s="20" t="s">
        <v>46</v>
      </c>
      <c r="G85" s="7"/>
      <c r="H85" s="7"/>
    </row>
    <row r="86" spans="1:8" s="38" customFormat="1" x14ac:dyDescent="0.3">
      <c r="A86" s="102">
        <v>42647</v>
      </c>
      <c r="B86" s="79" t="s">
        <v>3258</v>
      </c>
      <c r="C86" s="80" t="s">
        <v>3259</v>
      </c>
      <c r="D86" s="81" t="s">
        <v>3309</v>
      </c>
      <c r="E86" s="81" t="s">
        <v>1868</v>
      </c>
      <c r="F86" s="20" t="s">
        <v>46</v>
      </c>
      <c r="G86" s="7"/>
      <c r="H86" s="7"/>
    </row>
    <row r="87" spans="1:8" s="38" customFormat="1" x14ac:dyDescent="0.3">
      <c r="A87" s="102">
        <v>42647</v>
      </c>
      <c r="B87" s="79" t="s">
        <v>3260</v>
      </c>
      <c r="C87" s="80" t="s">
        <v>3261</v>
      </c>
      <c r="D87" s="81" t="s">
        <v>3310</v>
      </c>
      <c r="E87" s="81" t="s">
        <v>1868</v>
      </c>
      <c r="F87" s="20" t="s">
        <v>46</v>
      </c>
      <c r="G87" s="7"/>
      <c r="H87" s="7"/>
    </row>
    <row r="88" spans="1:8" s="38" customFormat="1" x14ac:dyDescent="0.3">
      <c r="A88" s="102">
        <v>42647</v>
      </c>
      <c r="B88" s="79" t="s">
        <v>3262</v>
      </c>
      <c r="C88" s="80" t="s">
        <v>3263</v>
      </c>
      <c r="D88" s="81" t="s">
        <v>3311</v>
      </c>
      <c r="E88" s="81" t="s">
        <v>1868</v>
      </c>
      <c r="F88" s="20" t="s">
        <v>46</v>
      </c>
      <c r="G88" s="7"/>
      <c r="H88" s="7"/>
    </row>
    <row r="89" spans="1:8" s="38" customFormat="1" x14ac:dyDescent="0.3">
      <c r="A89" s="102">
        <v>42647</v>
      </c>
      <c r="B89" s="79" t="s">
        <v>3264</v>
      </c>
      <c r="C89" s="80" t="s">
        <v>3265</v>
      </c>
      <c r="D89" s="81" t="s">
        <v>3312</v>
      </c>
      <c r="E89" s="81" t="s">
        <v>1868</v>
      </c>
      <c r="F89" s="20" t="s">
        <v>427</v>
      </c>
      <c r="G89" s="7"/>
      <c r="H89" s="7"/>
    </row>
    <row r="90" spans="1:8" s="38" customFormat="1" x14ac:dyDescent="0.3">
      <c r="A90" s="102">
        <v>42647</v>
      </c>
      <c r="B90" s="79" t="s">
        <v>3266</v>
      </c>
      <c r="C90" s="80" t="s">
        <v>3267</v>
      </c>
      <c r="D90" s="81" t="s">
        <v>3441</v>
      </c>
      <c r="E90" s="81" t="s">
        <v>3313</v>
      </c>
      <c r="F90" s="20" t="s">
        <v>432</v>
      </c>
      <c r="G90" s="7"/>
      <c r="H90" s="7"/>
    </row>
    <row r="91" spans="1:8" s="38" customFormat="1" x14ac:dyDescent="0.3">
      <c r="A91" s="102">
        <v>42647</v>
      </c>
      <c r="B91" s="79" t="s">
        <v>3268</v>
      </c>
      <c r="C91" s="80" t="s">
        <v>3269</v>
      </c>
      <c r="D91" s="81" t="s">
        <v>3314</v>
      </c>
      <c r="E91" s="81" t="s">
        <v>2130</v>
      </c>
      <c r="F91" s="20" t="s">
        <v>427</v>
      </c>
      <c r="G91" s="7"/>
      <c r="H91" s="7"/>
    </row>
    <row r="92" spans="1:8" s="38" customFormat="1" x14ac:dyDescent="0.3">
      <c r="A92" s="102">
        <v>42647</v>
      </c>
      <c r="B92" s="79" t="s">
        <v>3270</v>
      </c>
      <c r="C92" s="80" t="s">
        <v>3271</v>
      </c>
      <c r="D92" s="81" t="s">
        <v>3315</v>
      </c>
      <c r="E92" s="81" t="s">
        <v>413</v>
      </c>
      <c r="F92" s="20" t="s">
        <v>2012</v>
      </c>
      <c r="G92" s="7"/>
      <c r="H92" s="7"/>
    </row>
    <row r="93" spans="1:8" s="38" customFormat="1" x14ac:dyDescent="0.3">
      <c r="A93" s="102">
        <v>42647</v>
      </c>
      <c r="B93" s="79" t="s">
        <v>3272</v>
      </c>
      <c r="C93" s="80" t="s">
        <v>3273</v>
      </c>
      <c r="D93" s="81" t="s">
        <v>3315</v>
      </c>
      <c r="E93" s="81" t="s">
        <v>413</v>
      </c>
      <c r="F93" s="20" t="s">
        <v>2012</v>
      </c>
      <c r="G93" s="7"/>
      <c r="H93" s="7"/>
    </row>
    <row r="94" spans="1:8" s="38" customFormat="1" x14ac:dyDescent="0.3">
      <c r="A94" s="102">
        <v>42647</v>
      </c>
      <c r="B94" s="79" t="s">
        <v>3274</v>
      </c>
      <c r="C94" s="80" t="s">
        <v>3275</v>
      </c>
      <c r="D94" s="81" t="s">
        <v>3315</v>
      </c>
      <c r="E94" s="81" t="s">
        <v>413</v>
      </c>
      <c r="F94" s="20" t="s">
        <v>2012</v>
      </c>
      <c r="G94" s="7"/>
      <c r="H94" s="7"/>
    </row>
    <row r="95" spans="1:8" s="38" customFormat="1" x14ac:dyDescent="0.3">
      <c r="A95" s="102">
        <v>42647</v>
      </c>
      <c r="B95" s="79" t="s">
        <v>3276</v>
      </c>
      <c r="C95" s="80" t="s">
        <v>3277</v>
      </c>
      <c r="D95" s="81" t="s">
        <v>3316</v>
      </c>
      <c r="E95" s="81" t="s">
        <v>413</v>
      </c>
      <c r="F95" s="20" t="s">
        <v>2012</v>
      </c>
      <c r="G95" s="7"/>
      <c r="H95" s="7"/>
    </row>
    <row r="96" spans="1:8" s="38" customFormat="1" x14ac:dyDescent="0.3">
      <c r="A96" s="102">
        <v>42647</v>
      </c>
      <c r="B96" s="79" t="s">
        <v>3278</v>
      </c>
      <c r="C96" s="80" t="s">
        <v>3279</v>
      </c>
      <c r="D96" s="81" t="s">
        <v>3316</v>
      </c>
      <c r="E96" s="81" t="s">
        <v>413</v>
      </c>
      <c r="F96" s="20" t="s">
        <v>2012</v>
      </c>
      <c r="G96" s="7"/>
      <c r="H96" s="7"/>
    </row>
    <row r="97" spans="1:8" s="38" customFormat="1" x14ac:dyDescent="0.3">
      <c r="A97" s="102">
        <v>42647</v>
      </c>
      <c r="B97" s="79" t="s">
        <v>3280</v>
      </c>
      <c r="C97" s="80" t="s">
        <v>3281</v>
      </c>
      <c r="D97" s="81" t="s">
        <v>3316</v>
      </c>
      <c r="E97" s="81" t="s">
        <v>413</v>
      </c>
      <c r="F97" s="20" t="s">
        <v>2012</v>
      </c>
      <c r="G97" s="7"/>
      <c r="H97" s="7"/>
    </row>
    <row r="98" spans="1:8" s="38" customFormat="1" x14ac:dyDescent="0.3">
      <c r="A98" s="102">
        <v>42647</v>
      </c>
      <c r="B98" s="79" t="s">
        <v>3282</v>
      </c>
      <c r="C98" s="80" t="s">
        <v>3283</v>
      </c>
      <c r="D98" s="81" t="s">
        <v>3317</v>
      </c>
      <c r="E98" s="81" t="s">
        <v>413</v>
      </c>
      <c r="F98" s="20" t="s">
        <v>2012</v>
      </c>
      <c r="G98" s="7"/>
      <c r="H98" s="7"/>
    </row>
    <row r="99" spans="1:8" s="38" customFormat="1" x14ac:dyDescent="0.3">
      <c r="A99" s="102">
        <v>42647</v>
      </c>
      <c r="B99" s="79" t="s">
        <v>3284</v>
      </c>
      <c r="C99" s="80" t="s">
        <v>3285</v>
      </c>
      <c r="D99" s="81" t="s">
        <v>3317</v>
      </c>
      <c r="E99" s="81" t="s">
        <v>413</v>
      </c>
      <c r="F99" s="20" t="s">
        <v>2012</v>
      </c>
      <c r="G99" s="7"/>
      <c r="H99" s="7"/>
    </row>
    <row r="100" spans="1:8" s="38" customFormat="1" x14ac:dyDescent="0.3">
      <c r="A100" s="102">
        <v>42647</v>
      </c>
      <c r="B100" s="79" t="s">
        <v>3286</v>
      </c>
      <c r="C100" s="80" t="s">
        <v>3287</v>
      </c>
      <c r="D100" s="81" t="s">
        <v>3317</v>
      </c>
      <c r="E100" s="81" t="s">
        <v>413</v>
      </c>
      <c r="F100" s="20" t="s">
        <v>2012</v>
      </c>
      <c r="G100" s="7"/>
      <c r="H100" s="7"/>
    </row>
    <row r="101" spans="1:8" s="38" customFormat="1" x14ac:dyDescent="0.3">
      <c r="A101" s="102">
        <v>42647</v>
      </c>
      <c r="B101" s="79" t="s">
        <v>3288</v>
      </c>
      <c r="C101" s="80" t="s">
        <v>3289</v>
      </c>
      <c r="D101" s="81" t="s">
        <v>3318</v>
      </c>
      <c r="E101" s="81" t="s">
        <v>413</v>
      </c>
      <c r="F101" s="20" t="s">
        <v>2012</v>
      </c>
      <c r="G101" s="7"/>
      <c r="H101" s="7"/>
    </row>
    <row r="102" spans="1:8" s="38" customFormat="1" x14ac:dyDescent="0.3">
      <c r="A102" s="102">
        <v>42647</v>
      </c>
      <c r="B102" s="79" t="s">
        <v>3290</v>
      </c>
      <c r="C102" s="80" t="s">
        <v>3291</v>
      </c>
      <c r="D102" s="81" t="s">
        <v>3318</v>
      </c>
      <c r="E102" s="81" t="s">
        <v>413</v>
      </c>
      <c r="F102" s="20" t="s">
        <v>2012</v>
      </c>
      <c r="G102" s="7"/>
      <c r="H102" s="7"/>
    </row>
    <row r="103" spans="1:8" s="38" customFormat="1" x14ac:dyDescent="0.3">
      <c r="A103" s="102">
        <v>42647</v>
      </c>
      <c r="B103" s="79" t="s">
        <v>3292</v>
      </c>
      <c r="C103" s="80" t="s">
        <v>3293</v>
      </c>
      <c r="D103" s="81" t="s">
        <v>3318</v>
      </c>
      <c r="E103" s="81" t="s">
        <v>413</v>
      </c>
      <c r="F103" s="20" t="s">
        <v>2012</v>
      </c>
      <c r="G103" s="7"/>
      <c r="H103" s="7"/>
    </row>
    <row r="104" spans="1:8" s="38" customFormat="1" x14ac:dyDescent="0.3">
      <c r="A104" s="102">
        <v>42647</v>
      </c>
      <c r="B104" s="79" t="s">
        <v>3294</v>
      </c>
      <c r="C104" s="80" t="s">
        <v>3425</v>
      </c>
      <c r="D104" s="81" t="s">
        <v>3319</v>
      </c>
      <c r="E104" s="81" t="s">
        <v>413</v>
      </c>
      <c r="F104" s="20" t="s">
        <v>2012</v>
      </c>
      <c r="G104" s="7"/>
      <c r="H104" s="7"/>
    </row>
    <row r="105" spans="1:8" s="38" customFormat="1" x14ac:dyDescent="0.3">
      <c r="A105" s="102">
        <v>42647</v>
      </c>
      <c r="B105" s="79" t="s">
        <v>3295</v>
      </c>
      <c r="C105" s="80" t="s">
        <v>3426</v>
      </c>
      <c r="D105" s="81" t="s">
        <v>3319</v>
      </c>
      <c r="E105" s="81" t="s">
        <v>413</v>
      </c>
      <c r="F105" s="20" t="s">
        <v>2012</v>
      </c>
      <c r="G105" s="7"/>
      <c r="H105" s="7"/>
    </row>
    <row r="106" spans="1:8" s="38" customFormat="1" x14ac:dyDescent="0.3">
      <c r="A106" s="102">
        <v>42647</v>
      </c>
      <c r="B106" s="79" t="s">
        <v>3296</v>
      </c>
      <c r="C106" s="80" t="s">
        <v>3427</v>
      </c>
      <c r="D106" s="81" t="s">
        <v>3319</v>
      </c>
      <c r="E106" s="81" t="s">
        <v>413</v>
      </c>
      <c r="F106" s="20" t="s">
        <v>2012</v>
      </c>
      <c r="G106" s="7"/>
      <c r="H106" s="7"/>
    </row>
    <row r="107" spans="1:8" s="38" customFormat="1" x14ac:dyDescent="0.3">
      <c r="A107" s="102">
        <v>42647</v>
      </c>
      <c r="B107" s="79" t="s">
        <v>3297</v>
      </c>
      <c r="C107" s="80" t="s">
        <v>3428</v>
      </c>
      <c r="D107" s="81" t="s">
        <v>3320</v>
      </c>
      <c r="E107" s="81" t="s">
        <v>413</v>
      </c>
      <c r="F107" s="20" t="s">
        <v>2012</v>
      </c>
      <c r="G107" s="7"/>
      <c r="H107" s="7"/>
    </row>
    <row r="108" spans="1:8" s="38" customFormat="1" x14ac:dyDescent="0.3">
      <c r="A108" s="102">
        <v>42647</v>
      </c>
      <c r="B108" s="79" t="s">
        <v>3298</v>
      </c>
      <c r="C108" s="80" t="s">
        <v>3429</v>
      </c>
      <c r="D108" s="81" t="s">
        <v>3320</v>
      </c>
      <c r="E108" s="81" t="s">
        <v>413</v>
      </c>
      <c r="F108" s="20" t="s">
        <v>2012</v>
      </c>
      <c r="G108" s="7"/>
      <c r="H108" s="7"/>
    </row>
    <row r="109" spans="1:8" s="38" customFormat="1" x14ac:dyDescent="0.3">
      <c r="A109" s="102">
        <v>42647</v>
      </c>
      <c r="B109" s="79" t="s">
        <v>3299</v>
      </c>
      <c r="C109" s="80" t="s">
        <v>3430</v>
      </c>
      <c r="D109" s="81" t="s">
        <v>3320</v>
      </c>
      <c r="E109" s="81" t="s">
        <v>413</v>
      </c>
      <c r="F109" s="20" t="s">
        <v>2012</v>
      </c>
      <c r="G109" s="7"/>
      <c r="H109" s="7"/>
    </row>
    <row r="110" spans="1:8" s="38" customFormat="1" x14ac:dyDescent="0.3">
      <c r="A110" s="102">
        <v>42647</v>
      </c>
      <c r="B110" s="79" t="s">
        <v>3300</v>
      </c>
      <c r="C110" s="80" t="s">
        <v>3431</v>
      </c>
      <c r="D110" s="81" t="s">
        <v>3321</v>
      </c>
      <c r="E110" s="81" t="s">
        <v>413</v>
      </c>
      <c r="F110" s="20" t="s">
        <v>2012</v>
      </c>
      <c r="G110" s="7"/>
      <c r="H110" s="7"/>
    </row>
    <row r="111" spans="1:8" s="38" customFormat="1" x14ac:dyDescent="0.3">
      <c r="A111" s="102">
        <v>42647</v>
      </c>
      <c r="B111" s="79" t="s">
        <v>3301</v>
      </c>
      <c r="C111" s="80" t="s">
        <v>3432</v>
      </c>
      <c r="D111" s="81" t="s">
        <v>3321</v>
      </c>
      <c r="E111" s="81" t="s">
        <v>413</v>
      </c>
      <c r="F111" s="20" t="s">
        <v>2012</v>
      </c>
      <c r="G111" s="7"/>
      <c r="H111" s="7"/>
    </row>
    <row r="112" spans="1:8" s="38" customFormat="1" x14ac:dyDescent="0.3">
      <c r="A112" s="102">
        <v>42647</v>
      </c>
      <c r="B112" s="79" t="s">
        <v>3302</v>
      </c>
      <c r="C112" s="80" t="s">
        <v>3433</v>
      </c>
      <c r="D112" s="81" t="s">
        <v>3321</v>
      </c>
      <c r="E112" s="81" t="s">
        <v>413</v>
      </c>
      <c r="F112" s="20" t="s">
        <v>2012</v>
      </c>
      <c r="G112" s="7"/>
      <c r="H112" s="7"/>
    </row>
    <row r="113" spans="1:8" s="38" customFormat="1" x14ac:dyDescent="0.3">
      <c r="A113" s="102">
        <v>42647</v>
      </c>
      <c r="B113" s="79" t="s">
        <v>3303</v>
      </c>
      <c r="C113" s="80" t="s">
        <v>3434</v>
      </c>
      <c r="D113" s="81" t="s">
        <v>3322</v>
      </c>
      <c r="E113" s="81" t="s">
        <v>413</v>
      </c>
      <c r="F113" s="20" t="s">
        <v>2012</v>
      </c>
      <c r="G113" s="7"/>
      <c r="H113" s="7"/>
    </row>
    <row r="114" spans="1:8" s="38" customFormat="1" x14ac:dyDescent="0.3">
      <c r="A114" s="102">
        <v>42647</v>
      </c>
      <c r="B114" s="79" t="s">
        <v>3304</v>
      </c>
      <c r="C114" s="80" t="s">
        <v>3435</v>
      </c>
      <c r="D114" s="81" t="s">
        <v>3322</v>
      </c>
      <c r="E114" s="81" t="s">
        <v>413</v>
      </c>
      <c r="F114" s="20" t="s">
        <v>2012</v>
      </c>
      <c r="G114" s="7"/>
      <c r="H114" s="7"/>
    </row>
    <row r="115" spans="1:8" s="38" customFormat="1" x14ac:dyDescent="0.3">
      <c r="A115" s="102">
        <v>42647</v>
      </c>
      <c r="B115" s="79" t="s">
        <v>3305</v>
      </c>
      <c r="C115" s="80" t="s">
        <v>3436</v>
      </c>
      <c r="D115" s="81" t="s">
        <v>3322</v>
      </c>
      <c r="E115" s="81" t="s">
        <v>413</v>
      </c>
      <c r="F115" s="20" t="s">
        <v>2012</v>
      </c>
      <c r="G115" s="7"/>
      <c r="H115" s="7"/>
    </row>
    <row r="116" spans="1:8" s="38" customFormat="1" x14ac:dyDescent="0.3">
      <c r="A116" s="105">
        <v>42691</v>
      </c>
      <c r="B116" s="86" t="s">
        <v>3338</v>
      </c>
      <c r="C116" s="87" t="s">
        <v>3421</v>
      </c>
      <c r="D116" s="88" t="s">
        <v>3344</v>
      </c>
      <c r="E116" s="88" t="s">
        <v>409</v>
      </c>
      <c r="F116" s="21" t="s">
        <v>38</v>
      </c>
      <c r="G116" s="7"/>
      <c r="H116" s="7"/>
    </row>
    <row r="117" spans="1:8" s="38" customFormat="1" x14ac:dyDescent="0.3">
      <c r="A117" s="105">
        <v>42691</v>
      </c>
      <c r="B117" s="86" t="s">
        <v>3339</v>
      </c>
      <c r="C117" s="87" t="s">
        <v>3422</v>
      </c>
      <c r="D117" s="88" t="s">
        <v>3344</v>
      </c>
      <c r="E117" s="88" t="s">
        <v>409</v>
      </c>
      <c r="F117" s="21" t="s">
        <v>38</v>
      </c>
      <c r="G117" s="7"/>
      <c r="H117" s="7"/>
    </row>
    <row r="118" spans="1:8" s="38" customFormat="1" x14ac:dyDescent="0.3">
      <c r="A118" s="105">
        <v>42691</v>
      </c>
      <c r="B118" s="86" t="s">
        <v>3340</v>
      </c>
      <c r="C118" s="87" t="s">
        <v>3419</v>
      </c>
      <c r="D118" s="88" t="s">
        <v>3345</v>
      </c>
      <c r="E118" s="88" t="s">
        <v>409</v>
      </c>
      <c r="F118" s="21" t="s">
        <v>38</v>
      </c>
      <c r="G118" s="7"/>
      <c r="H118" s="7"/>
    </row>
    <row r="119" spans="1:8" s="38" customFormat="1" x14ac:dyDescent="0.3">
      <c r="A119" s="105">
        <v>42691</v>
      </c>
      <c r="B119" s="86" t="s">
        <v>3341</v>
      </c>
      <c r="C119" s="87" t="s">
        <v>3420</v>
      </c>
      <c r="D119" s="88" t="s">
        <v>3345</v>
      </c>
      <c r="E119" s="88" t="s">
        <v>409</v>
      </c>
      <c r="F119" s="21" t="s">
        <v>38</v>
      </c>
      <c r="G119" s="7"/>
      <c r="H119" s="7"/>
    </row>
    <row r="120" spans="1:8" s="38" customFormat="1" x14ac:dyDescent="0.3">
      <c r="A120" s="105">
        <v>42691</v>
      </c>
      <c r="B120" s="86" t="s">
        <v>3342</v>
      </c>
      <c r="C120" s="87" t="s">
        <v>3423</v>
      </c>
      <c r="D120" s="88" t="s">
        <v>3346</v>
      </c>
      <c r="E120" s="88" t="s">
        <v>409</v>
      </c>
      <c r="F120" s="21" t="s">
        <v>38</v>
      </c>
      <c r="G120" s="7"/>
      <c r="H120" s="7"/>
    </row>
    <row r="121" spans="1:8" s="38" customFormat="1" x14ac:dyDescent="0.3">
      <c r="A121" s="105">
        <v>42691</v>
      </c>
      <c r="B121" s="86" t="s">
        <v>3343</v>
      </c>
      <c r="C121" s="87" t="s">
        <v>3424</v>
      </c>
      <c r="D121" s="88" t="s">
        <v>3346</v>
      </c>
      <c r="E121" s="88" t="s">
        <v>409</v>
      </c>
      <c r="F121" s="21" t="s">
        <v>38</v>
      </c>
      <c r="G121" s="7"/>
      <c r="H121" s="7"/>
    </row>
    <row r="122" spans="1:8" s="38" customFormat="1" x14ac:dyDescent="0.3">
      <c r="A122" s="112">
        <v>42720</v>
      </c>
      <c r="B122" s="90" t="s">
        <v>3354</v>
      </c>
      <c r="C122" s="91" t="s">
        <v>3355</v>
      </c>
      <c r="D122" s="92" t="s">
        <v>3416</v>
      </c>
      <c r="E122" s="92" t="s">
        <v>3401</v>
      </c>
      <c r="F122" s="93" t="s">
        <v>3402</v>
      </c>
      <c r="G122" s="7"/>
      <c r="H122" s="7"/>
    </row>
    <row r="123" spans="1:8" s="38" customFormat="1" x14ac:dyDescent="0.3">
      <c r="A123" s="112">
        <v>42720</v>
      </c>
      <c r="B123" s="90" t="s">
        <v>3360</v>
      </c>
      <c r="C123" s="91" t="s">
        <v>3361</v>
      </c>
      <c r="D123" s="92" t="s">
        <v>3416</v>
      </c>
      <c r="E123" s="92" t="s">
        <v>3401</v>
      </c>
      <c r="F123" s="93" t="s">
        <v>3402</v>
      </c>
      <c r="G123" s="7"/>
      <c r="H123" s="7"/>
    </row>
    <row r="124" spans="1:8" s="38" customFormat="1" x14ac:dyDescent="0.3">
      <c r="A124" s="112">
        <v>42720</v>
      </c>
      <c r="B124" s="90" t="s">
        <v>3350</v>
      </c>
      <c r="C124" s="91" t="s">
        <v>3351</v>
      </c>
      <c r="D124" s="92" t="s">
        <v>3406</v>
      </c>
      <c r="E124" s="92" t="s">
        <v>3401</v>
      </c>
      <c r="F124" s="93" t="s">
        <v>3402</v>
      </c>
      <c r="G124" s="7"/>
      <c r="H124" s="7"/>
    </row>
    <row r="125" spans="1:8" s="38" customFormat="1" x14ac:dyDescent="0.3">
      <c r="A125" s="112">
        <v>42720</v>
      </c>
      <c r="B125" s="90" t="s">
        <v>3356</v>
      </c>
      <c r="C125" s="91" t="s">
        <v>3357</v>
      </c>
      <c r="D125" s="92" t="s">
        <v>3406</v>
      </c>
      <c r="E125" s="92" t="s">
        <v>3401</v>
      </c>
      <c r="F125" s="93" t="s">
        <v>3402</v>
      </c>
      <c r="G125" s="7"/>
      <c r="H125" s="7"/>
    </row>
    <row r="126" spans="1:8" s="38" customFormat="1" x14ac:dyDescent="0.3">
      <c r="A126" s="112">
        <v>42720</v>
      </c>
      <c r="B126" s="90" t="s">
        <v>3412</v>
      </c>
      <c r="C126" s="91" t="s">
        <v>3415</v>
      </c>
      <c r="D126" s="92" t="s">
        <v>3417</v>
      </c>
      <c r="E126" s="92" t="s">
        <v>3401</v>
      </c>
      <c r="F126" s="93" t="s">
        <v>3402</v>
      </c>
      <c r="G126" s="7"/>
      <c r="H126" s="7"/>
    </row>
    <row r="127" spans="1:8" s="38" customFormat="1" x14ac:dyDescent="0.3">
      <c r="A127" s="112">
        <v>42720</v>
      </c>
      <c r="B127" s="90" t="s">
        <v>3413</v>
      </c>
      <c r="C127" s="91" t="s">
        <v>3414</v>
      </c>
      <c r="D127" s="92" t="s">
        <v>3417</v>
      </c>
      <c r="E127" s="92" t="s">
        <v>3401</v>
      </c>
      <c r="F127" s="93" t="s">
        <v>3402</v>
      </c>
      <c r="G127" s="7"/>
      <c r="H127" s="7"/>
    </row>
    <row r="128" spans="1:8" s="38" customFormat="1" x14ac:dyDescent="0.3">
      <c r="A128" s="112">
        <v>42720</v>
      </c>
      <c r="B128" s="90" t="s">
        <v>3352</v>
      </c>
      <c r="C128" s="91" t="s">
        <v>3353</v>
      </c>
      <c r="D128" s="92" t="s">
        <v>3407</v>
      </c>
      <c r="E128" s="92" t="s">
        <v>3401</v>
      </c>
      <c r="F128" s="93" t="s">
        <v>3402</v>
      </c>
      <c r="G128" s="7"/>
      <c r="H128" s="7"/>
    </row>
    <row r="129" spans="1:8" s="38" customFormat="1" x14ac:dyDescent="0.3">
      <c r="A129" s="112">
        <v>42720</v>
      </c>
      <c r="B129" s="90" t="s">
        <v>3358</v>
      </c>
      <c r="C129" s="91" t="s">
        <v>3359</v>
      </c>
      <c r="D129" s="92" t="s">
        <v>3407</v>
      </c>
      <c r="E129" s="92" t="s">
        <v>3401</v>
      </c>
      <c r="F129" s="93" t="s">
        <v>3402</v>
      </c>
      <c r="G129" s="7"/>
      <c r="H129" s="7"/>
    </row>
    <row r="130" spans="1:8" s="38" customFormat="1" x14ac:dyDescent="0.3">
      <c r="A130" s="112">
        <v>42720</v>
      </c>
      <c r="B130" s="90" t="s">
        <v>3376</v>
      </c>
      <c r="C130" s="94" t="s">
        <v>3377</v>
      </c>
      <c r="D130" s="92" t="s">
        <v>3403</v>
      </c>
      <c r="E130" s="92" t="s">
        <v>2660</v>
      </c>
      <c r="F130" s="93" t="s">
        <v>46</v>
      </c>
      <c r="G130" s="7"/>
      <c r="H130" s="7"/>
    </row>
    <row r="131" spans="1:8" s="38" customFormat="1" x14ac:dyDescent="0.3">
      <c r="A131" s="112">
        <v>42720</v>
      </c>
      <c r="B131" s="90" t="s">
        <v>3380</v>
      </c>
      <c r="C131" s="91" t="s">
        <v>3381</v>
      </c>
      <c r="D131" s="92" t="s">
        <v>3400</v>
      </c>
      <c r="E131" s="92" t="s">
        <v>2660</v>
      </c>
      <c r="F131" s="93" t="s">
        <v>57</v>
      </c>
      <c r="G131" s="7"/>
      <c r="H131" s="7"/>
    </row>
    <row r="132" spans="1:8" s="38" customFormat="1" x14ac:dyDescent="0.3">
      <c r="A132" s="112">
        <v>42720</v>
      </c>
      <c r="B132" s="90" t="s">
        <v>3378</v>
      </c>
      <c r="C132" s="91" t="s">
        <v>3379</v>
      </c>
      <c r="D132" s="92" t="s">
        <v>3399</v>
      </c>
      <c r="E132" s="92" t="s">
        <v>3397</v>
      </c>
      <c r="F132" s="93" t="s">
        <v>46</v>
      </c>
      <c r="G132" s="7"/>
      <c r="H132" s="7"/>
    </row>
    <row r="133" spans="1:8" s="38" customFormat="1" x14ac:dyDescent="0.3">
      <c r="A133" s="112">
        <v>42720</v>
      </c>
      <c r="B133" s="90" t="s">
        <v>3382</v>
      </c>
      <c r="C133" s="91" t="s">
        <v>3383</v>
      </c>
      <c r="D133" s="92" t="s">
        <v>3398</v>
      </c>
      <c r="E133" s="92" t="s">
        <v>2660</v>
      </c>
      <c r="F133" s="93" t="s">
        <v>57</v>
      </c>
      <c r="G133" s="7"/>
      <c r="H133" s="7"/>
    </row>
    <row r="134" spans="1:8" s="38" customFormat="1" x14ac:dyDescent="0.3">
      <c r="A134" s="112">
        <v>42720</v>
      </c>
      <c r="B134" s="90" t="s">
        <v>3372</v>
      </c>
      <c r="C134" s="90" t="s">
        <v>3373</v>
      </c>
      <c r="D134" s="92" t="s">
        <v>3404</v>
      </c>
      <c r="E134" s="92" t="s">
        <v>3066</v>
      </c>
      <c r="F134" s="93" t="s">
        <v>399</v>
      </c>
      <c r="G134" s="7"/>
      <c r="H134" s="7"/>
    </row>
    <row r="135" spans="1:8" s="38" customFormat="1" x14ac:dyDescent="0.3">
      <c r="A135" s="112">
        <v>42720</v>
      </c>
      <c r="B135" s="90" t="s">
        <v>3374</v>
      </c>
      <c r="C135" s="90" t="s">
        <v>3375</v>
      </c>
      <c r="D135" s="92" t="s">
        <v>3405</v>
      </c>
      <c r="E135" s="92" t="s">
        <v>3066</v>
      </c>
      <c r="F135" s="93" t="s">
        <v>399</v>
      </c>
      <c r="G135" s="7"/>
      <c r="H135" s="7"/>
    </row>
    <row r="136" spans="1:8" x14ac:dyDescent="0.3">
      <c r="A136" s="98"/>
      <c r="B136" s="28"/>
      <c r="C136" s="28"/>
      <c r="D136" s="17"/>
      <c r="E136" s="1"/>
      <c r="F136" s="1"/>
    </row>
    <row r="137" spans="1:8" x14ac:dyDescent="0.3">
      <c r="A137" s="5" t="s">
        <v>3836</v>
      </c>
      <c r="B137" s="6" t="str">
        <f>"Deletions ("&amp;COUNTA(B138:B165)&amp;")"</f>
        <v>Deletions (27)</v>
      </c>
      <c r="C137" s="5" t="s">
        <v>28</v>
      </c>
      <c r="D137" s="17"/>
      <c r="E137" s="68"/>
      <c r="F137" s="1"/>
    </row>
    <row r="138" spans="1:8" s="38" customFormat="1" x14ac:dyDescent="0.3">
      <c r="A138" s="97">
        <v>42471</v>
      </c>
      <c r="B138" s="42" t="s">
        <v>1057</v>
      </c>
      <c r="C138" s="37" t="s">
        <v>1058</v>
      </c>
      <c r="D138" s="17"/>
      <c r="E138" s="68"/>
      <c r="F138" s="68"/>
    </row>
    <row r="139" spans="1:8" s="38" customFormat="1" x14ac:dyDescent="0.3">
      <c r="A139" s="97">
        <v>42471</v>
      </c>
      <c r="B139" s="42" t="s">
        <v>1060</v>
      </c>
      <c r="C139" s="37" t="s">
        <v>1061</v>
      </c>
      <c r="D139" s="17"/>
      <c r="E139" s="68"/>
      <c r="F139" s="68"/>
    </row>
    <row r="140" spans="1:8" s="38" customFormat="1" x14ac:dyDescent="0.3">
      <c r="A140" s="97">
        <v>42471</v>
      </c>
      <c r="B140" s="42" t="s">
        <v>2988</v>
      </c>
      <c r="C140" s="28" t="s">
        <v>2989</v>
      </c>
      <c r="D140" s="17"/>
      <c r="E140" s="68"/>
      <c r="F140" s="68"/>
    </row>
    <row r="141" spans="1:8" s="38" customFormat="1" x14ac:dyDescent="0.3">
      <c r="A141" s="97">
        <v>42471</v>
      </c>
      <c r="B141" s="42" t="s">
        <v>2817</v>
      </c>
      <c r="C141" s="37" t="s">
        <v>3119</v>
      </c>
      <c r="D141" s="17"/>
      <c r="E141" s="68"/>
      <c r="F141" s="68"/>
    </row>
    <row r="142" spans="1:8" s="38" customFormat="1" x14ac:dyDescent="0.3">
      <c r="A142" s="97">
        <v>42471</v>
      </c>
      <c r="B142" s="42" t="s">
        <v>2818</v>
      </c>
      <c r="C142" s="37" t="s">
        <v>2933</v>
      </c>
      <c r="D142" s="17"/>
      <c r="E142" s="68"/>
      <c r="F142" s="68"/>
    </row>
    <row r="143" spans="1:8" s="38" customFormat="1" x14ac:dyDescent="0.3">
      <c r="A143" s="97">
        <v>42471</v>
      </c>
      <c r="B143" s="42" t="s">
        <v>2819</v>
      </c>
      <c r="C143" s="37" t="s">
        <v>2934</v>
      </c>
      <c r="D143" s="17"/>
      <c r="E143" s="68"/>
      <c r="F143" s="68"/>
    </row>
    <row r="144" spans="1:8" s="38" customFormat="1" x14ac:dyDescent="0.3">
      <c r="A144" s="104">
        <v>42535</v>
      </c>
      <c r="B144" s="70" t="s">
        <v>3154</v>
      </c>
      <c r="C144" s="71" t="s">
        <v>3155</v>
      </c>
      <c r="D144" s="17"/>
      <c r="E144" s="68"/>
      <c r="F144" s="68"/>
    </row>
    <row r="145" spans="1:6" s="38" customFormat="1" x14ac:dyDescent="0.3">
      <c r="A145" s="114">
        <v>42556</v>
      </c>
      <c r="B145" s="77" t="s">
        <v>3226</v>
      </c>
      <c r="C145" s="78" t="s">
        <v>3232</v>
      </c>
      <c r="D145" s="17"/>
      <c r="E145" s="68"/>
      <c r="F145" s="68"/>
    </row>
    <row r="146" spans="1:6" s="38" customFormat="1" x14ac:dyDescent="0.3">
      <c r="A146" s="114">
        <v>42556</v>
      </c>
      <c r="B146" s="77" t="s">
        <v>3227</v>
      </c>
      <c r="C146" s="78" t="s">
        <v>3233</v>
      </c>
      <c r="D146" s="17"/>
      <c r="E146" s="68"/>
      <c r="F146" s="68"/>
    </row>
    <row r="147" spans="1:6" s="38" customFormat="1" x14ac:dyDescent="0.3">
      <c r="A147" s="114">
        <v>42556</v>
      </c>
      <c r="B147" s="77" t="s">
        <v>3228</v>
      </c>
      <c r="C147" s="78" t="s">
        <v>3234</v>
      </c>
      <c r="D147" s="17"/>
      <c r="E147" s="68"/>
      <c r="F147" s="68"/>
    </row>
    <row r="148" spans="1:6" s="38" customFormat="1" x14ac:dyDescent="0.3">
      <c r="A148" s="114">
        <v>42556</v>
      </c>
      <c r="B148" s="77" t="s">
        <v>3229</v>
      </c>
      <c r="C148" s="78" t="s">
        <v>3235</v>
      </c>
      <c r="D148" s="17"/>
      <c r="E148" s="68"/>
      <c r="F148" s="68"/>
    </row>
    <row r="149" spans="1:6" s="38" customFormat="1" x14ac:dyDescent="0.3">
      <c r="A149" s="114">
        <v>42556</v>
      </c>
      <c r="B149" s="77" t="s">
        <v>3230</v>
      </c>
      <c r="C149" s="78" t="s">
        <v>3236</v>
      </c>
      <c r="D149" s="17"/>
      <c r="E149" s="68"/>
      <c r="F149" s="68"/>
    </row>
    <row r="150" spans="1:6" s="38" customFormat="1" x14ac:dyDescent="0.3">
      <c r="A150" s="114">
        <v>42556</v>
      </c>
      <c r="B150" s="77" t="s">
        <v>3231</v>
      </c>
      <c r="C150" s="78" t="s">
        <v>3237</v>
      </c>
      <c r="D150" s="17"/>
      <c r="E150" s="68"/>
      <c r="F150" s="68"/>
    </row>
    <row r="151" spans="1:6" s="38" customFormat="1" x14ac:dyDescent="0.3">
      <c r="A151" s="114">
        <v>42556</v>
      </c>
      <c r="B151" s="77" t="s">
        <v>1405</v>
      </c>
      <c r="C151" s="78" t="s">
        <v>3239</v>
      </c>
      <c r="D151" s="17"/>
      <c r="E151" s="68"/>
      <c r="F151" s="68"/>
    </row>
    <row r="152" spans="1:6" s="38" customFormat="1" x14ac:dyDescent="0.3">
      <c r="A152" s="114">
        <v>42556</v>
      </c>
      <c r="B152" s="77" t="s">
        <v>3238</v>
      </c>
      <c r="C152" s="78" t="s">
        <v>3240</v>
      </c>
      <c r="D152" s="17"/>
      <c r="E152" s="68"/>
      <c r="F152" s="68"/>
    </row>
    <row r="153" spans="1:6" s="38" customFormat="1" x14ac:dyDescent="0.3">
      <c r="A153" s="114">
        <v>42556</v>
      </c>
      <c r="B153" s="77" t="s">
        <v>1656</v>
      </c>
      <c r="C153" s="78" t="s">
        <v>1658</v>
      </c>
      <c r="D153" s="17"/>
      <c r="E153" s="68"/>
      <c r="F153" s="68"/>
    </row>
    <row r="154" spans="1:6" s="38" customFormat="1" x14ac:dyDescent="0.3">
      <c r="A154" s="114">
        <v>42556</v>
      </c>
      <c r="B154" s="77" t="s">
        <v>2897</v>
      </c>
      <c r="C154" s="78" t="s">
        <v>2898</v>
      </c>
      <c r="D154" s="17"/>
      <c r="E154" s="68"/>
      <c r="F154" s="68"/>
    </row>
    <row r="155" spans="1:6" s="38" customFormat="1" x14ac:dyDescent="0.3">
      <c r="A155" s="102">
        <v>42647</v>
      </c>
      <c r="B155" s="79" t="s">
        <v>2736</v>
      </c>
      <c r="C155" s="80" t="s">
        <v>2773</v>
      </c>
      <c r="D155" s="17"/>
      <c r="E155" s="68"/>
      <c r="F155" s="68"/>
    </row>
    <row r="156" spans="1:6" s="38" customFormat="1" x14ac:dyDescent="0.3">
      <c r="A156" s="102">
        <v>42647</v>
      </c>
      <c r="B156" s="79" t="s">
        <v>2737</v>
      </c>
      <c r="C156" s="80" t="s">
        <v>2148</v>
      </c>
      <c r="D156" s="17"/>
      <c r="E156" s="68"/>
      <c r="F156" s="68"/>
    </row>
    <row r="157" spans="1:6" s="38" customFormat="1" x14ac:dyDescent="0.3">
      <c r="A157" s="112">
        <v>42720</v>
      </c>
      <c r="B157" s="90" t="s">
        <v>3370</v>
      </c>
      <c r="C157" s="91" t="s">
        <v>3371</v>
      </c>
      <c r="D157" s="17"/>
      <c r="E157" s="68"/>
      <c r="F157" s="68"/>
    </row>
    <row r="158" spans="1:6" s="38" customFormat="1" x14ac:dyDescent="0.3">
      <c r="A158" s="112">
        <v>42720</v>
      </c>
      <c r="B158" s="90" t="s">
        <v>3408</v>
      </c>
      <c r="C158" s="91" t="s">
        <v>3409</v>
      </c>
      <c r="D158" s="17"/>
      <c r="E158" s="68"/>
      <c r="F158" s="68"/>
    </row>
    <row r="159" spans="1:6" s="38" customFormat="1" x14ac:dyDescent="0.3">
      <c r="A159" s="112">
        <v>42720</v>
      </c>
      <c r="B159" s="90" t="s">
        <v>3410</v>
      </c>
      <c r="C159" s="91" t="s">
        <v>3411</v>
      </c>
      <c r="D159" s="17"/>
      <c r="E159" s="68"/>
      <c r="F159" s="68"/>
    </row>
    <row r="160" spans="1:6" s="38" customFormat="1" x14ac:dyDescent="0.3">
      <c r="A160" s="112">
        <v>42720</v>
      </c>
      <c r="B160" s="90" t="s">
        <v>3362</v>
      </c>
      <c r="C160" s="91" t="s">
        <v>3363</v>
      </c>
      <c r="D160" s="17"/>
      <c r="E160" s="68"/>
      <c r="F160" s="68"/>
    </row>
    <row r="161" spans="1:7" s="38" customFormat="1" x14ac:dyDescent="0.3">
      <c r="A161" s="112">
        <v>42720</v>
      </c>
      <c r="B161" s="90" t="s">
        <v>3364</v>
      </c>
      <c r="C161" s="91" t="s">
        <v>3365</v>
      </c>
      <c r="D161" s="17"/>
      <c r="E161" s="68"/>
      <c r="F161" s="68"/>
    </row>
    <row r="162" spans="1:7" s="38" customFormat="1" x14ac:dyDescent="0.3">
      <c r="A162" s="112">
        <v>42720</v>
      </c>
      <c r="B162" s="90" t="s">
        <v>3366</v>
      </c>
      <c r="C162" s="91" t="s">
        <v>3367</v>
      </c>
      <c r="D162" s="17"/>
      <c r="E162" s="68"/>
      <c r="F162" s="68"/>
    </row>
    <row r="163" spans="1:7" s="38" customFormat="1" x14ac:dyDescent="0.3">
      <c r="A163" s="112">
        <v>42720</v>
      </c>
      <c r="B163" s="90" t="s">
        <v>3368</v>
      </c>
      <c r="C163" s="91" t="s">
        <v>3369</v>
      </c>
      <c r="D163" s="17"/>
      <c r="E163" s="68"/>
      <c r="F163" s="68"/>
    </row>
    <row r="164" spans="1:7" s="38" customFormat="1" x14ac:dyDescent="0.3">
      <c r="A164" s="112">
        <v>42720</v>
      </c>
      <c r="B164" s="90" t="s">
        <v>2825</v>
      </c>
      <c r="C164" s="91" t="s">
        <v>2826</v>
      </c>
      <c r="D164" s="17"/>
      <c r="E164" s="68"/>
      <c r="F164" s="68"/>
    </row>
    <row r="165" spans="1:7" x14ac:dyDescent="0.3">
      <c r="A165" s="98"/>
      <c r="B165" s="28"/>
      <c r="C165" s="28"/>
    </row>
    <row r="166" spans="1:7" x14ac:dyDescent="0.3">
      <c r="A166" s="5" t="s">
        <v>3836</v>
      </c>
      <c r="B166" s="6" t="str">
        <f>"Change in code ("&amp;COUNTA(B167:B168)&amp;")"</f>
        <v>Change in code (1)</v>
      </c>
      <c r="C166" s="6" t="s">
        <v>28</v>
      </c>
      <c r="D166" s="6" t="s">
        <v>114</v>
      </c>
    </row>
    <row r="167" spans="1:7" s="38" customFormat="1" x14ac:dyDescent="0.3">
      <c r="A167" s="97">
        <v>42471</v>
      </c>
      <c r="B167" s="42" t="s">
        <v>740</v>
      </c>
      <c r="C167" s="38" t="s">
        <v>2932</v>
      </c>
      <c r="D167" s="42" t="s">
        <v>2931</v>
      </c>
    </row>
    <row r="168" spans="1:7" x14ac:dyDescent="0.3">
      <c r="A168" s="98"/>
      <c r="B168" s="7"/>
      <c r="C168" s="7"/>
    </row>
    <row r="169" spans="1:7" x14ac:dyDescent="0.3">
      <c r="A169" s="5" t="s">
        <v>3836</v>
      </c>
      <c r="B169" s="6" t="str">
        <f>"Change in description ("&amp;COUNTA(B170:B229)&amp;")"</f>
        <v>Change in description (59)</v>
      </c>
      <c r="C169" s="6" t="s">
        <v>115</v>
      </c>
      <c r="D169" s="6" t="s">
        <v>116</v>
      </c>
    </row>
    <row r="170" spans="1:7" s="38" customFormat="1" x14ac:dyDescent="0.3">
      <c r="A170" s="97">
        <v>42471</v>
      </c>
      <c r="B170" s="42" t="s">
        <v>524</v>
      </c>
      <c r="C170" s="38" t="s">
        <v>2373</v>
      </c>
      <c r="D170" s="38" t="s">
        <v>3140</v>
      </c>
    </row>
    <row r="171" spans="1:7" s="38" customFormat="1" x14ac:dyDescent="0.3">
      <c r="A171" s="97">
        <v>42471</v>
      </c>
      <c r="B171" s="42" t="s">
        <v>527</v>
      </c>
      <c r="C171" s="38" t="s">
        <v>2374</v>
      </c>
      <c r="D171" s="38" t="s">
        <v>3141</v>
      </c>
    </row>
    <row r="172" spans="1:7" s="28" customFormat="1" x14ac:dyDescent="0.3">
      <c r="A172" s="97">
        <v>42471</v>
      </c>
      <c r="B172" s="42" t="s">
        <v>530</v>
      </c>
      <c r="C172" s="38" t="s">
        <v>2375</v>
      </c>
      <c r="D172" s="38" t="s">
        <v>3142</v>
      </c>
      <c r="E172" s="38"/>
      <c r="F172" s="38"/>
      <c r="G172" s="38"/>
    </row>
    <row r="173" spans="1:7" s="38" customFormat="1" x14ac:dyDescent="0.3">
      <c r="A173" s="97">
        <v>42471</v>
      </c>
      <c r="B173" s="42" t="s">
        <v>2821</v>
      </c>
      <c r="C173" s="38" t="s">
        <v>3120</v>
      </c>
      <c r="D173" s="42" t="s">
        <v>2822</v>
      </c>
    </row>
    <row r="174" spans="1:7" s="38" customFormat="1" x14ac:dyDescent="0.3">
      <c r="A174" s="97">
        <v>42471</v>
      </c>
      <c r="B174" s="42" t="s">
        <v>361</v>
      </c>
      <c r="C174" s="38" t="s">
        <v>3121</v>
      </c>
      <c r="D174" s="42" t="s">
        <v>2820</v>
      </c>
    </row>
    <row r="175" spans="1:7" s="38" customFormat="1" x14ac:dyDescent="0.3">
      <c r="A175" s="97">
        <v>42471</v>
      </c>
      <c r="B175" s="42" t="s">
        <v>685</v>
      </c>
      <c r="C175" s="38" t="s">
        <v>3015</v>
      </c>
      <c r="D175" s="42" t="s">
        <v>2999</v>
      </c>
    </row>
    <row r="176" spans="1:7" s="38" customFormat="1" x14ac:dyDescent="0.3">
      <c r="A176" s="97">
        <v>42471</v>
      </c>
      <c r="B176" s="42" t="s">
        <v>688</v>
      </c>
      <c r="C176" s="38" t="s">
        <v>3016</v>
      </c>
      <c r="D176" s="42" t="s">
        <v>3000</v>
      </c>
    </row>
    <row r="177" spans="1:4" s="38" customFormat="1" x14ac:dyDescent="0.3">
      <c r="A177" s="97">
        <v>42471</v>
      </c>
      <c r="B177" s="42" t="s">
        <v>691</v>
      </c>
      <c r="C177" s="38" t="s">
        <v>3017</v>
      </c>
      <c r="D177" s="42" t="s">
        <v>3001</v>
      </c>
    </row>
    <row r="178" spans="1:4" s="38" customFormat="1" x14ac:dyDescent="0.3">
      <c r="A178" s="97">
        <v>42471</v>
      </c>
      <c r="B178" s="42" t="s">
        <v>694</v>
      </c>
      <c r="C178" s="38" t="s">
        <v>3018</v>
      </c>
      <c r="D178" s="42" t="s">
        <v>3002</v>
      </c>
    </row>
    <row r="179" spans="1:4" s="38" customFormat="1" x14ac:dyDescent="0.3">
      <c r="A179" s="97">
        <v>42471</v>
      </c>
      <c r="B179" s="42" t="s">
        <v>697</v>
      </c>
      <c r="C179" s="38" t="s">
        <v>3019</v>
      </c>
      <c r="D179" s="42" t="s">
        <v>3003</v>
      </c>
    </row>
    <row r="180" spans="1:4" s="38" customFormat="1" x14ac:dyDescent="0.3">
      <c r="A180" s="97">
        <v>42471</v>
      </c>
      <c r="B180" s="42" t="s">
        <v>700</v>
      </c>
      <c r="C180" s="38" t="s">
        <v>3020</v>
      </c>
      <c r="D180" s="42" t="s">
        <v>3004</v>
      </c>
    </row>
    <row r="181" spans="1:4" s="38" customFormat="1" x14ac:dyDescent="0.3">
      <c r="A181" s="97">
        <v>42471</v>
      </c>
      <c r="B181" s="42" t="s">
        <v>703</v>
      </c>
      <c r="C181" s="38" t="s">
        <v>3021</v>
      </c>
      <c r="D181" s="42" t="s">
        <v>3005</v>
      </c>
    </row>
    <row r="182" spans="1:4" s="38" customFormat="1" x14ac:dyDescent="0.3">
      <c r="A182" s="97">
        <v>42471</v>
      </c>
      <c r="B182" s="42" t="s">
        <v>709</v>
      </c>
      <c r="C182" s="38" t="s">
        <v>3022</v>
      </c>
      <c r="D182" s="42" t="s">
        <v>3006</v>
      </c>
    </row>
    <row r="183" spans="1:4" s="38" customFormat="1" x14ac:dyDescent="0.3">
      <c r="A183" s="97">
        <v>42471</v>
      </c>
      <c r="B183" s="42" t="s">
        <v>715</v>
      </c>
      <c r="C183" s="38" t="s">
        <v>3007</v>
      </c>
      <c r="D183" s="42" t="s">
        <v>2990</v>
      </c>
    </row>
    <row r="184" spans="1:4" s="38" customFormat="1" x14ac:dyDescent="0.3">
      <c r="A184" s="97">
        <v>42471</v>
      </c>
      <c r="B184" s="42" t="s">
        <v>718</v>
      </c>
      <c r="C184" s="38" t="s">
        <v>3008</v>
      </c>
      <c r="D184" s="42" t="s">
        <v>2991</v>
      </c>
    </row>
    <row r="185" spans="1:4" s="38" customFormat="1" x14ac:dyDescent="0.3">
      <c r="A185" s="97">
        <v>42471</v>
      </c>
      <c r="B185" s="42" t="s">
        <v>721</v>
      </c>
      <c r="C185" s="38" t="s">
        <v>3009</v>
      </c>
      <c r="D185" s="42" t="s">
        <v>2992</v>
      </c>
    </row>
    <row r="186" spans="1:4" s="38" customFormat="1" x14ac:dyDescent="0.3">
      <c r="A186" s="97">
        <v>42471</v>
      </c>
      <c r="B186" s="42" t="s">
        <v>724</v>
      </c>
      <c r="C186" s="38" t="s">
        <v>3010</v>
      </c>
      <c r="D186" s="42" t="s">
        <v>2993</v>
      </c>
    </row>
    <row r="187" spans="1:4" s="38" customFormat="1" x14ac:dyDescent="0.3">
      <c r="A187" s="97">
        <v>42471</v>
      </c>
      <c r="B187" s="42" t="s">
        <v>727</v>
      </c>
      <c r="C187" s="38" t="s">
        <v>3011</v>
      </c>
      <c r="D187" s="42" t="s">
        <v>2994</v>
      </c>
    </row>
    <row r="188" spans="1:4" s="38" customFormat="1" x14ac:dyDescent="0.3">
      <c r="A188" s="97">
        <v>42471</v>
      </c>
      <c r="B188" s="42" t="s">
        <v>730</v>
      </c>
      <c r="C188" s="38" t="s">
        <v>3012</v>
      </c>
      <c r="D188" s="42" t="s">
        <v>2995</v>
      </c>
    </row>
    <row r="189" spans="1:4" s="38" customFormat="1" x14ac:dyDescent="0.3">
      <c r="A189" s="97">
        <v>42471</v>
      </c>
      <c r="B189" s="42" t="s">
        <v>733</v>
      </c>
      <c r="C189" s="38" t="s">
        <v>3013</v>
      </c>
      <c r="D189" s="42" t="s">
        <v>2996</v>
      </c>
    </row>
    <row r="190" spans="1:4" s="38" customFormat="1" x14ac:dyDescent="0.3">
      <c r="A190" s="97">
        <v>42471</v>
      </c>
      <c r="B190" s="42" t="s">
        <v>2997</v>
      </c>
      <c r="C190" s="38" t="s">
        <v>3014</v>
      </c>
      <c r="D190" s="42" t="s">
        <v>2998</v>
      </c>
    </row>
    <row r="191" spans="1:4" s="38" customFormat="1" x14ac:dyDescent="0.3">
      <c r="A191" s="114">
        <v>42556</v>
      </c>
      <c r="B191" s="39" t="s">
        <v>1594</v>
      </c>
      <c r="C191" s="77" t="s">
        <v>1596</v>
      </c>
      <c r="D191" s="39" t="s">
        <v>3161</v>
      </c>
    </row>
    <row r="192" spans="1:4" s="38" customFormat="1" x14ac:dyDescent="0.3">
      <c r="A192" s="114">
        <v>42556</v>
      </c>
      <c r="B192" s="39" t="s">
        <v>1597</v>
      </c>
      <c r="C192" s="77" t="s">
        <v>1599</v>
      </c>
      <c r="D192" s="39" t="s">
        <v>3162</v>
      </c>
    </row>
    <row r="193" spans="1:4" s="38" customFormat="1" x14ac:dyDescent="0.3">
      <c r="A193" s="114">
        <v>42556</v>
      </c>
      <c r="B193" s="39" t="s">
        <v>1069</v>
      </c>
      <c r="C193" s="77" t="s">
        <v>1600</v>
      </c>
      <c r="D193" s="39" t="s">
        <v>3163</v>
      </c>
    </row>
    <row r="194" spans="1:4" s="38" customFormat="1" x14ac:dyDescent="0.3">
      <c r="A194" s="114">
        <v>42556</v>
      </c>
      <c r="B194" s="39" t="s">
        <v>1601</v>
      </c>
      <c r="C194" s="77" t="s">
        <v>1603</v>
      </c>
      <c r="D194" s="39" t="s">
        <v>3164</v>
      </c>
    </row>
    <row r="195" spans="1:4" s="38" customFormat="1" x14ac:dyDescent="0.3">
      <c r="A195" s="114">
        <v>42556</v>
      </c>
      <c r="B195" s="39" t="s">
        <v>1604</v>
      </c>
      <c r="C195" s="77" t="s">
        <v>1606</v>
      </c>
      <c r="D195" s="39" t="s">
        <v>3165</v>
      </c>
    </row>
    <row r="196" spans="1:4" s="38" customFormat="1" x14ac:dyDescent="0.3">
      <c r="A196" s="114">
        <v>42556</v>
      </c>
      <c r="B196" s="39" t="s">
        <v>1607</v>
      </c>
      <c r="C196" s="77" t="s">
        <v>1609</v>
      </c>
      <c r="D196" s="39" t="s">
        <v>3166</v>
      </c>
    </row>
    <row r="197" spans="1:4" s="38" customFormat="1" x14ac:dyDescent="0.3">
      <c r="A197" s="114">
        <v>42556</v>
      </c>
      <c r="B197" s="39" t="s">
        <v>1610</v>
      </c>
      <c r="C197" s="77" t="s">
        <v>1612</v>
      </c>
      <c r="D197" s="39" t="s">
        <v>3167</v>
      </c>
    </row>
    <row r="198" spans="1:4" s="38" customFormat="1" x14ac:dyDescent="0.3">
      <c r="A198" s="114">
        <v>42556</v>
      </c>
      <c r="B198" s="39" t="s">
        <v>1613</v>
      </c>
      <c r="C198" s="77" t="s">
        <v>1615</v>
      </c>
      <c r="D198" s="39" t="s">
        <v>3168</v>
      </c>
    </row>
    <row r="199" spans="1:4" s="38" customFormat="1" x14ac:dyDescent="0.3">
      <c r="A199" s="114">
        <v>42556</v>
      </c>
      <c r="B199" s="39" t="s">
        <v>1616</v>
      </c>
      <c r="C199" s="77" t="s">
        <v>1618</v>
      </c>
      <c r="D199" s="39" t="s">
        <v>3169</v>
      </c>
    </row>
    <row r="200" spans="1:4" s="38" customFormat="1" x14ac:dyDescent="0.3">
      <c r="A200" s="114">
        <v>42556</v>
      </c>
      <c r="B200" s="39" t="s">
        <v>1619</v>
      </c>
      <c r="C200" s="77" t="s">
        <v>1621</v>
      </c>
      <c r="D200" s="39" t="s">
        <v>3170</v>
      </c>
    </row>
    <row r="201" spans="1:4" s="38" customFormat="1" x14ac:dyDescent="0.3">
      <c r="A201" s="114">
        <v>42556</v>
      </c>
      <c r="B201" s="39" t="s">
        <v>1622</v>
      </c>
      <c r="C201" s="77" t="s">
        <v>1624</v>
      </c>
      <c r="D201" s="39" t="s">
        <v>3171</v>
      </c>
    </row>
    <row r="202" spans="1:4" s="38" customFormat="1" x14ac:dyDescent="0.3">
      <c r="A202" s="114">
        <v>42556</v>
      </c>
      <c r="B202" s="39" t="s">
        <v>1625</v>
      </c>
      <c r="C202" s="77" t="s">
        <v>1627</v>
      </c>
      <c r="D202" s="39" t="s">
        <v>3172</v>
      </c>
    </row>
    <row r="203" spans="1:4" s="38" customFormat="1" x14ac:dyDescent="0.3">
      <c r="A203" s="114">
        <v>42556</v>
      </c>
      <c r="B203" s="39" t="s">
        <v>1628</v>
      </c>
      <c r="C203" s="77" t="s">
        <v>1630</v>
      </c>
      <c r="D203" s="39" t="s">
        <v>3173</v>
      </c>
    </row>
    <row r="204" spans="1:4" s="38" customFormat="1" x14ac:dyDescent="0.3">
      <c r="A204" s="114">
        <v>42556</v>
      </c>
      <c r="B204" s="39" t="s">
        <v>1631</v>
      </c>
      <c r="C204" s="77" t="s">
        <v>1633</v>
      </c>
      <c r="D204" s="39" t="s">
        <v>3174</v>
      </c>
    </row>
    <row r="205" spans="1:4" s="38" customFormat="1" x14ac:dyDescent="0.3">
      <c r="A205" s="114">
        <v>42556</v>
      </c>
      <c r="B205" s="39" t="s">
        <v>1634</v>
      </c>
      <c r="C205" s="77" t="s">
        <v>1636</v>
      </c>
      <c r="D205" s="39" t="s">
        <v>3175</v>
      </c>
    </row>
    <row r="206" spans="1:4" s="38" customFormat="1" x14ac:dyDescent="0.3">
      <c r="A206" s="114">
        <v>42556</v>
      </c>
      <c r="B206" s="39" t="s">
        <v>1637</v>
      </c>
      <c r="C206" s="77" t="s">
        <v>1639</v>
      </c>
      <c r="D206" s="39" t="s">
        <v>3176</v>
      </c>
    </row>
    <row r="207" spans="1:4" s="38" customFormat="1" x14ac:dyDescent="0.3">
      <c r="A207" s="114">
        <v>42556</v>
      </c>
      <c r="B207" s="39" t="s">
        <v>1640</v>
      </c>
      <c r="C207" s="77" t="s">
        <v>1642</v>
      </c>
      <c r="D207" s="39" t="s">
        <v>3177</v>
      </c>
    </row>
    <row r="208" spans="1:4" s="38" customFormat="1" x14ac:dyDescent="0.3">
      <c r="A208" s="114">
        <v>42556</v>
      </c>
      <c r="B208" s="39" t="s">
        <v>1643</v>
      </c>
      <c r="C208" s="77" t="s">
        <v>1645</v>
      </c>
      <c r="D208" s="39" t="s">
        <v>3178</v>
      </c>
    </row>
    <row r="209" spans="1:4" s="38" customFormat="1" x14ac:dyDescent="0.3">
      <c r="A209" s="114">
        <v>42556</v>
      </c>
      <c r="B209" s="39" t="s">
        <v>1157</v>
      </c>
      <c r="C209" s="77" t="s">
        <v>1646</v>
      </c>
      <c r="D209" s="39" t="s">
        <v>3179</v>
      </c>
    </row>
    <row r="210" spans="1:4" s="38" customFormat="1" x14ac:dyDescent="0.3">
      <c r="A210" s="114">
        <v>42556</v>
      </c>
      <c r="B210" s="39" t="s">
        <v>2110</v>
      </c>
      <c r="C210" s="77" t="s">
        <v>2113</v>
      </c>
      <c r="D210" s="39" t="s">
        <v>3180</v>
      </c>
    </row>
    <row r="211" spans="1:4" s="38" customFormat="1" x14ac:dyDescent="0.3">
      <c r="A211" s="114">
        <v>42556</v>
      </c>
      <c r="B211" s="39" t="s">
        <v>1647</v>
      </c>
      <c r="C211" s="77" t="s">
        <v>1649</v>
      </c>
      <c r="D211" s="39" t="s">
        <v>3181</v>
      </c>
    </row>
    <row r="212" spans="1:4" s="38" customFormat="1" x14ac:dyDescent="0.3">
      <c r="A212" s="114">
        <v>42556</v>
      </c>
      <c r="B212" s="39" t="s">
        <v>1650</v>
      </c>
      <c r="C212" s="77" t="s">
        <v>1652</v>
      </c>
      <c r="D212" s="39" t="s">
        <v>3182</v>
      </c>
    </row>
    <row r="213" spans="1:4" s="38" customFormat="1" x14ac:dyDescent="0.3">
      <c r="A213" s="114">
        <v>42556</v>
      </c>
      <c r="B213" s="39" t="s">
        <v>1653</v>
      </c>
      <c r="C213" s="77" t="s">
        <v>1655</v>
      </c>
      <c r="D213" s="39" t="s">
        <v>3183</v>
      </c>
    </row>
    <row r="214" spans="1:4" s="38" customFormat="1" x14ac:dyDescent="0.3">
      <c r="A214" s="114">
        <v>42556</v>
      </c>
      <c r="B214" s="39" t="s">
        <v>1656</v>
      </c>
      <c r="C214" s="77" t="s">
        <v>1658</v>
      </c>
      <c r="D214" s="39" t="s">
        <v>3184</v>
      </c>
    </row>
    <row r="215" spans="1:4" s="38" customFormat="1" x14ac:dyDescent="0.3">
      <c r="A215" s="114">
        <v>42556</v>
      </c>
      <c r="B215" s="39" t="s">
        <v>1181</v>
      </c>
      <c r="C215" s="77" t="s">
        <v>1659</v>
      </c>
      <c r="D215" s="39" t="s">
        <v>3185</v>
      </c>
    </row>
    <row r="216" spans="1:4" s="38" customFormat="1" x14ac:dyDescent="0.3">
      <c r="A216" s="114">
        <v>42556</v>
      </c>
      <c r="B216" s="39" t="s">
        <v>1193</v>
      </c>
      <c r="C216" s="77" t="s">
        <v>1660</v>
      </c>
      <c r="D216" s="39" t="s">
        <v>3186</v>
      </c>
    </row>
    <row r="217" spans="1:4" s="38" customFormat="1" x14ac:dyDescent="0.3">
      <c r="A217" s="112">
        <v>42720</v>
      </c>
      <c r="B217" s="92" t="s">
        <v>1223</v>
      </c>
      <c r="C217" s="90" t="s">
        <v>1224</v>
      </c>
      <c r="D217" s="92" t="s">
        <v>3385</v>
      </c>
    </row>
    <row r="218" spans="1:4" s="38" customFormat="1" x14ac:dyDescent="0.3">
      <c r="A218" s="112">
        <v>42720</v>
      </c>
      <c r="B218" s="92" t="s">
        <v>1226</v>
      </c>
      <c r="C218" s="90" t="s">
        <v>1227</v>
      </c>
      <c r="D218" s="92" t="s">
        <v>3386</v>
      </c>
    </row>
    <row r="219" spans="1:4" s="38" customFormat="1" x14ac:dyDescent="0.3">
      <c r="A219" s="112">
        <v>42720</v>
      </c>
      <c r="B219" s="92" t="s">
        <v>1228</v>
      </c>
      <c r="C219" s="90" t="s">
        <v>1229</v>
      </c>
      <c r="D219" s="92" t="s">
        <v>3387</v>
      </c>
    </row>
    <row r="220" spans="1:4" s="38" customFormat="1" x14ac:dyDescent="0.3">
      <c r="A220" s="112">
        <v>42720</v>
      </c>
      <c r="B220" s="92" t="s">
        <v>664</v>
      </c>
      <c r="C220" s="90" t="s">
        <v>1230</v>
      </c>
      <c r="D220" s="92" t="s">
        <v>3388</v>
      </c>
    </row>
    <row r="221" spans="1:4" s="38" customFormat="1" x14ac:dyDescent="0.3">
      <c r="A221" s="112">
        <v>42720</v>
      </c>
      <c r="B221" s="92" t="s">
        <v>667</v>
      </c>
      <c r="C221" s="90" t="s">
        <v>1231</v>
      </c>
      <c r="D221" s="92" t="s">
        <v>3389</v>
      </c>
    </row>
    <row r="222" spans="1:4" s="38" customFormat="1" x14ac:dyDescent="0.3">
      <c r="A222" s="112">
        <v>42720</v>
      </c>
      <c r="B222" s="92" t="s">
        <v>668</v>
      </c>
      <c r="C222" s="90" t="s">
        <v>1232</v>
      </c>
      <c r="D222" s="92" t="s">
        <v>3390</v>
      </c>
    </row>
    <row r="223" spans="1:4" s="38" customFormat="1" x14ac:dyDescent="0.3">
      <c r="A223" s="112">
        <v>42720</v>
      </c>
      <c r="B223" s="92" t="s">
        <v>1233</v>
      </c>
      <c r="C223" s="90" t="s">
        <v>1234</v>
      </c>
      <c r="D223" s="92" t="s">
        <v>3391</v>
      </c>
    </row>
    <row r="224" spans="1:4" s="38" customFormat="1" x14ac:dyDescent="0.3">
      <c r="A224" s="112">
        <v>42720</v>
      </c>
      <c r="B224" s="92" t="s">
        <v>1236</v>
      </c>
      <c r="C224" s="90" t="s">
        <v>1237</v>
      </c>
      <c r="D224" s="92" t="s">
        <v>3392</v>
      </c>
    </row>
    <row r="225" spans="1:4" s="38" customFormat="1" x14ac:dyDescent="0.3">
      <c r="A225" s="112">
        <v>42720</v>
      </c>
      <c r="B225" s="92" t="s">
        <v>1238</v>
      </c>
      <c r="C225" s="90" t="s">
        <v>1239</v>
      </c>
      <c r="D225" s="92" t="s">
        <v>3393</v>
      </c>
    </row>
    <row r="226" spans="1:4" s="38" customFormat="1" x14ac:dyDescent="0.3">
      <c r="A226" s="112">
        <v>42720</v>
      </c>
      <c r="B226" s="92" t="s">
        <v>1240</v>
      </c>
      <c r="C226" s="90" t="s">
        <v>1241</v>
      </c>
      <c r="D226" s="92" t="s">
        <v>3394</v>
      </c>
    </row>
    <row r="227" spans="1:4" s="38" customFormat="1" x14ac:dyDescent="0.3">
      <c r="A227" s="112">
        <v>42720</v>
      </c>
      <c r="B227" s="92" t="s">
        <v>1243</v>
      </c>
      <c r="C227" s="90" t="s">
        <v>1244</v>
      </c>
      <c r="D227" s="92" t="s">
        <v>3395</v>
      </c>
    </row>
    <row r="228" spans="1:4" s="38" customFormat="1" x14ac:dyDescent="0.3">
      <c r="A228" s="112">
        <v>42720</v>
      </c>
      <c r="B228" s="92" t="s">
        <v>1245</v>
      </c>
      <c r="C228" s="90" t="s">
        <v>3384</v>
      </c>
      <c r="D228" s="92" t="s">
        <v>3396</v>
      </c>
    </row>
    <row r="229" spans="1:4" x14ac:dyDescent="0.3">
      <c r="A229" s="98"/>
    </row>
    <row r="230" spans="1:4" x14ac:dyDescent="0.3">
      <c r="A230" s="5" t="s">
        <v>3836</v>
      </c>
      <c r="B230" s="5" t="str">
        <f>"Change in definition ("&amp;COUNTA(B231:B315)&amp;")"</f>
        <v>Change in definition (84)</v>
      </c>
      <c r="C230" s="5" t="s">
        <v>198</v>
      </c>
      <c r="D230" s="5" t="s">
        <v>199</v>
      </c>
    </row>
    <row r="231" spans="1:4" s="38" customFormat="1" x14ac:dyDescent="0.3">
      <c r="A231" s="97">
        <v>42471</v>
      </c>
      <c r="B231" s="37" t="s">
        <v>3098</v>
      </c>
      <c r="C231" s="37" t="s">
        <v>3099</v>
      </c>
      <c r="D231" s="37" t="s">
        <v>3100</v>
      </c>
    </row>
    <row r="232" spans="1:4" s="38" customFormat="1" x14ac:dyDescent="0.3">
      <c r="A232" s="97">
        <v>42471</v>
      </c>
      <c r="B232" s="37" t="s">
        <v>3093</v>
      </c>
      <c r="C232" s="37" t="s">
        <v>3096</v>
      </c>
      <c r="D232" s="37" t="s">
        <v>3097</v>
      </c>
    </row>
    <row r="233" spans="1:4" s="38" customFormat="1" x14ac:dyDescent="0.3">
      <c r="A233" s="97">
        <v>42471</v>
      </c>
      <c r="B233" s="37" t="s">
        <v>3094</v>
      </c>
      <c r="C233" s="37" t="s">
        <v>3096</v>
      </c>
      <c r="D233" s="37" t="s">
        <v>3097</v>
      </c>
    </row>
    <row r="234" spans="1:4" s="38" customFormat="1" x14ac:dyDescent="0.3">
      <c r="A234" s="97">
        <v>42471</v>
      </c>
      <c r="B234" s="37" t="s">
        <v>3095</v>
      </c>
      <c r="C234" s="37" t="s">
        <v>3096</v>
      </c>
      <c r="D234" s="37" t="s">
        <v>3097</v>
      </c>
    </row>
    <row r="235" spans="1:4" s="38" customFormat="1" x14ac:dyDescent="0.3">
      <c r="A235" s="97">
        <v>42471</v>
      </c>
      <c r="B235" s="37" t="s">
        <v>2821</v>
      </c>
      <c r="C235" s="37" t="s">
        <v>3102</v>
      </c>
      <c r="D235" s="37" t="s">
        <v>3101</v>
      </c>
    </row>
    <row r="236" spans="1:4" s="38" customFormat="1" x14ac:dyDescent="0.3">
      <c r="A236" s="97">
        <v>42471</v>
      </c>
      <c r="B236" s="37" t="s">
        <v>986</v>
      </c>
      <c r="C236" s="37" t="s">
        <v>3103</v>
      </c>
      <c r="D236" s="37" t="s">
        <v>3105</v>
      </c>
    </row>
    <row r="237" spans="1:4" s="38" customFormat="1" x14ac:dyDescent="0.3">
      <c r="A237" s="97">
        <v>42471</v>
      </c>
      <c r="B237" s="37" t="s">
        <v>989</v>
      </c>
      <c r="C237" s="37" t="s">
        <v>3103</v>
      </c>
      <c r="D237" s="37" t="s">
        <v>3105</v>
      </c>
    </row>
    <row r="238" spans="1:4" s="38" customFormat="1" x14ac:dyDescent="0.3">
      <c r="A238" s="97">
        <v>42471</v>
      </c>
      <c r="B238" s="37" t="s">
        <v>361</v>
      </c>
      <c r="C238" s="37" t="s">
        <v>3104</v>
      </c>
      <c r="D238" s="37" t="s">
        <v>3106</v>
      </c>
    </row>
    <row r="239" spans="1:4" s="38" customFormat="1" x14ac:dyDescent="0.3">
      <c r="A239" s="97">
        <v>42471</v>
      </c>
      <c r="B239" s="37" t="s">
        <v>1000</v>
      </c>
      <c r="C239" s="37" t="s">
        <v>3107</v>
      </c>
      <c r="D239" s="37" t="s">
        <v>3109</v>
      </c>
    </row>
    <row r="240" spans="1:4" s="38" customFormat="1" x14ac:dyDescent="0.3">
      <c r="A240" s="97">
        <v>42471</v>
      </c>
      <c r="B240" s="37" t="s">
        <v>1002</v>
      </c>
      <c r="C240" s="37" t="s">
        <v>3108</v>
      </c>
      <c r="D240" s="37" t="s">
        <v>3110</v>
      </c>
    </row>
    <row r="241" spans="1:4" s="38" customFormat="1" x14ac:dyDescent="0.3">
      <c r="A241" s="97">
        <v>42471</v>
      </c>
      <c r="B241" s="37" t="s">
        <v>1005</v>
      </c>
      <c r="C241" s="37" t="s">
        <v>3108</v>
      </c>
      <c r="D241" s="37" t="s">
        <v>3110</v>
      </c>
    </row>
    <row r="242" spans="1:4" s="38" customFormat="1" x14ac:dyDescent="0.3">
      <c r="A242" s="97">
        <v>42471</v>
      </c>
      <c r="B242" s="37" t="s">
        <v>3111</v>
      </c>
      <c r="C242" s="37" t="s">
        <v>3112</v>
      </c>
      <c r="D242" s="37" t="s">
        <v>3113</v>
      </c>
    </row>
    <row r="243" spans="1:4" s="38" customFormat="1" x14ac:dyDescent="0.3">
      <c r="A243" s="97">
        <v>42471</v>
      </c>
      <c r="B243" s="37" t="s">
        <v>685</v>
      </c>
      <c r="C243" s="38" t="s">
        <v>687</v>
      </c>
      <c r="D243" s="37" t="s">
        <v>3122</v>
      </c>
    </row>
    <row r="244" spans="1:4" s="38" customFormat="1" x14ac:dyDescent="0.3">
      <c r="A244" s="97">
        <v>42471</v>
      </c>
      <c r="B244" s="37" t="s">
        <v>688</v>
      </c>
      <c r="C244" s="38" t="s">
        <v>690</v>
      </c>
      <c r="D244" s="37" t="s">
        <v>3123</v>
      </c>
    </row>
    <row r="245" spans="1:4" s="38" customFormat="1" x14ac:dyDescent="0.3">
      <c r="A245" s="97">
        <v>42471</v>
      </c>
      <c r="B245" s="37" t="s">
        <v>691</v>
      </c>
      <c r="C245" s="38" t="s">
        <v>693</v>
      </c>
      <c r="D245" s="37" t="s">
        <v>3124</v>
      </c>
    </row>
    <row r="246" spans="1:4" s="38" customFormat="1" x14ac:dyDescent="0.3">
      <c r="A246" s="97">
        <v>42471</v>
      </c>
      <c r="B246" s="37" t="s">
        <v>694</v>
      </c>
      <c r="C246" s="38" t="s">
        <v>696</v>
      </c>
      <c r="D246" s="37" t="s">
        <v>3125</v>
      </c>
    </row>
    <row r="247" spans="1:4" s="38" customFormat="1" x14ac:dyDescent="0.3">
      <c r="A247" s="97">
        <v>42471</v>
      </c>
      <c r="B247" s="37" t="s">
        <v>697</v>
      </c>
      <c r="C247" s="38" t="s">
        <v>699</v>
      </c>
      <c r="D247" s="37" t="s">
        <v>3126</v>
      </c>
    </row>
    <row r="248" spans="1:4" s="38" customFormat="1" x14ac:dyDescent="0.3">
      <c r="A248" s="97">
        <v>42471</v>
      </c>
      <c r="B248" s="37" t="s">
        <v>700</v>
      </c>
      <c r="C248" s="38" t="s">
        <v>702</v>
      </c>
      <c r="D248" s="37" t="s">
        <v>3127</v>
      </c>
    </row>
    <row r="249" spans="1:4" s="38" customFormat="1" x14ac:dyDescent="0.3">
      <c r="A249" s="97">
        <v>42471</v>
      </c>
      <c r="B249" s="37" t="s">
        <v>703</v>
      </c>
      <c r="C249" s="38" t="s">
        <v>705</v>
      </c>
      <c r="D249" s="37" t="s">
        <v>3128</v>
      </c>
    </row>
    <row r="250" spans="1:4" s="38" customFormat="1" x14ac:dyDescent="0.3">
      <c r="A250" s="97">
        <v>42471</v>
      </c>
      <c r="B250" s="37" t="s">
        <v>709</v>
      </c>
      <c r="C250" s="38" t="s">
        <v>711</v>
      </c>
      <c r="D250" s="37" t="s">
        <v>3129</v>
      </c>
    </row>
    <row r="251" spans="1:4" s="38" customFormat="1" x14ac:dyDescent="0.3">
      <c r="A251" s="97">
        <v>42471</v>
      </c>
      <c r="B251" s="37" t="s">
        <v>715</v>
      </c>
      <c r="C251" s="38" t="s">
        <v>717</v>
      </c>
      <c r="D251" s="37" t="s">
        <v>3130</v>
      </c>
    </row>
    <row r="252" spans="1:4" s="38" customFormat="1" x14ac:dyDescent="0.3">
      <c r="A252" s="97">
        <v>42471</v>
      </c>
      <c r="B252" s="37" t="s">
        <v>718</v>
      </c>
      <c r="C252" s="38" t="s">
        <v>720</v>
      </c>
      <c r="D252" s="37" t="s">
        <v>3131</v>
      </c>
    </row>
    <row r="253" spans="1:4" s="38" customFormat="1" x14ac:dyDescent="0.3">
      <c r="A253" s="97">
        <v>42471</v>
      </c>
      <c r="B253" s="37" t="s">
        <v>721</v>
      </c>
      <c r="C253" s="38" t="s">
        <v>723</v>
      </c>
      <c r="D253" s="37" t="s">
        <v>3132</v>
      </c>
    </row>
    <row r="254" spans="1:4" s="38" customFormat="1" x14ac:dyDescent="0.3">
      <c r="A254" s="97">
        <v>42471</v>
      </c>
      <c r="B254" s="37" t="s">
        <v>724</v>
      </c>
      <c r="C254" s="38" t="s">
        <v>726</v>
      </c>
      <c r="D254" s="37" t="s">
        <v>3133</v>
      </c>
    </row>
    <row r="255" spans="1:4" s="38" customFormat="1" x14ac:dyDescent="0.3">
      <c r="A255" s="97">
        <v>42471</v>
      </c>
      <c r="B255" s="37" t="s">
        <v>727</v>
      </c>
      <c r="C255" s="38" t="s">
        <v>729</v>
      </c>
      <c r="D255" s="37" t="s">
        <v>3134</v>
      </c>
    </row>
    <row r="256" spans="1:4" s="38" customFormat="1" x14ac:dyDescent="0.3">
      <c r="A256" s="97">
        <v>42471</v>
      </c>
      <c r="B256" s="37" t="s">
        <v>730</v>
      </c>
      <c r="C256" s="38" t="s">
        <v>732</v>
      </c>
      <c r="D256" s="37" t="s">
        <v>3135</v>
      </c>
    </row>
    <row r="257" spans="1:4" s="38" customFormat="1" x14ac:dyDescent="0.3">
      <c r="A257" s="97">
        <v>42471</v>
      </c>
      <c r="B257" s="37" t="s">
        <v>733</v>
      </c>
      <c r="C257" s="38" t="s">
        <v>735</v>
      </c>
      <c r="D257" s="37" t="s">
        <v>3136</v>
      </c>
    </row>
    <row r="258" spans="1:4" s="38" customFormat="1" x14ac:dyDescent="0.3">
      <c r="A258" s="97">
        <v>42471</v>
      </c>
      <c r="B258" s="37" t="s">
        <v>2997</v>
      </c>
      <c r="C258" s="38" t="s">
        <v>3138</v>
      </c>
      <c r="D258" s="37" t="s">
        <v>3137</v>
      </c>
    </row>
    <row r="259" spans="1:4" s="38" customFormat="1" x14ac:dyDescent="0.3">
      <c r="A259" s="104">
        <v>42535</v>
      </c>
      <c r="B259" s="74" t="s">
        <v>1519</v>
      </c>
      <c r="C259" s="70" t="s">
        <v>2667</v>
      </c>
      <c r="D259" s="74" t="s">
        <v>3151</v>
      </c>
    </row>
    <row r="260" spans="1:4" s="38" customFormat="1" x14ac:dyDescent="0.3">
      <c r="A260" s="104">
        <v>42535</v>
      </c>
      <c r="B260" s="74" t="s">
        <v>1520</v>
      </c>
      <c r="C260" s="70" t="s">
        <v>2667</v>
      </c>
      <c r="D260" s="74" t="s">
        <v>3151</v>
      </c>
    </row>
    <row r="261" spans="1:4" s="38" customFormat="1" x14ac:dyDescent="0.3">
      <c r="A261" s="104">
        <v>42535</v>
      </c>
      <c r="B261" s="74" t="s">
        <v>3157</v>
      </c>
      <c r="C261" s="70" t="s">
        <v>3158</v>
      </c>
      <c r="D261" s="74" t="s">
        <v>3158</v>
      </c>
    </row>
    <row r="262" spans="1:4" s="38" customFormat="1" x14ac:dyDescent="0.3">
      <c r="A262" s="114">
        <v>42556</v>
      </c>
      <c r="B262" s="40" t="s">
        <v>1594</v>
      </c>
      <c r="C262" s="77" t="s">
        <v>1693</v>
      </c>
      <c r="D262" s="40" t="s">
        <v>3187</v>
      </c>
    </row>
    <row r="263" spans="1:4" s="38" customFormat="1" x14ac:dyDescent="0.3">
      <c r="A263" s="114">
        <v>42556</v>
      </c>
      <c r="B263" s="40" t="s">
        <v>1601</v>
      </c>
      <c r="C263" s="77" t="s">
        <v>1695</v>
      </c>
      <c r="D263" s="40" t="s">
        <v>3188</v>
      </c>
    </row>
    <row r="264" spans="1:4" s="38" customFormat="1" x14ac:dyDescent="0.3">
      <c r="A264" s="114">
        <v>42556</v>
      </c>
      <c r="B264" s="40" t="s">
        <v>1696</v>
      </c>
      <c r="C264" s="77" t="s">
        <v>1698</v>
      </c>
      <c r="D264" s="40" t="s">
        <v>3189</v>
      </c>
    </row>
    <row r="265" spans="1:4" s="38" customFormat="1" x14ac:dyDescent="0.3">
      <c r="A265" s="114">
        <v>42556</v>
      </c>
      <c r="B265" s="40" t="s">
        <v>1604</v>
      </c>
      <c r="C265" s="77" t="s">
        <v>1700</v>
      </c>
      <c r="D265" s="40" t="s">
        <v>3190</v>
      </c>
    </row>
    <row r="266" spans="1:4" s="38" customFormat="1" x14ac:dyDescent="0.3">
      <c r="A266" s="114">
        <v>42556</v>
      </c>
      <c r="B266" s="40" t="s">
        <v>1701</v>
      </c>
      <c r="C266" s="77" t="s">
        <v>1703</v>
      </c>
      <c r="D266" s="40" t="s">
        <v>3191</v>
      </c>
    </row>
    <row r="267" spans="1:4" s="38" customFormat="1" x14ac:dyDescent="0.3">
      <c r="A267" s="114">
        <v>42556</v>
      </c>
      <c r="B267" s="40" t="s">
        <v>1607</v>
      </c>
      <c r="C267" s="77" t="s">
        <v>1705</v>
      </c>
      <c r="D267" s="40" t="s">
        <v>3192</v>
      </c>
    </row>
    <row r="268" spans="1:4" s="38" customFormat="1" x14ac:dyDescent="0.3">
      <c r="A268" s="114">
        <v>42556</v>
      </c>
      <c r="B268" s="40" t="s">
        <v>1706</v>
      </c>
      <c r="C268" s="77" t="s">
        <v>1708</v>
      </c>
      <c r="D268" s="40" t="s">
        <v>3193</v>
      </c>
    </row>
    <row r="269" spans="1:4" s="38" customFormat="1" x14ac:dyDescent="0.3">
      <c r="A269" s="114">
        <v>42556</v>
      </c>
      <c r="B269" s="40" t="s">
        <v>1610</v>
      </c>
      <c r="C269" s="77" t="s">
        <v>1710</v>
      </c>
      <c r="D269" s="40" t="s">
        <v>3194</v>
      </c>
    </row>
    <row r="270" spans="1:4" s="38" customFormat="1" x14ac:dyDescent="0.3">
      <c r="A270" s="114">
        <v>42556</v>
      </c>
      <c r="B270" s="40" t="s">
        <v>1711</v>
      </c>
      <c r="C270" s="77" t="s">
        <v>1713</v>
      </c>
      <c r="D270" s="40" t="s">
        <v>3195</v>
      </c>
    </row>
    <row r="271" spans="1:4" s="38" customFormat="1" x14ac:dyDescent="0.3">
      <c r="A271" s="114">
        <v>42556</v>
      </c>
      <c r="B271" s="40" t="s">
        <v>1613</v>
      </c>
      <c r="C271" s="77" t="s">
        <v>1715</v>
      </c>
      <c r="D271" s="40" t="s">
        <v>3196</v>
      </c>
    </row>
    <row r="272" spans="1:4" s="38" customFormat="1" x14ac:dyDescent="0.3">
      <c r="A272" s="114">
        <v>42556</v>
      </c>
      <c r="B272" s="40" t="s">
        <v>1716</v>
      </c>
      <c r="C272" s="77" t="s">
        <v>1718</v>
      </c>
      <c r="D272" s="40" t="s">
        <v>3197</v>
      </c>
    </row>
    <row r="273" spans="1:4" s="38" customFormat="1" x14ac:dyDescent="0.3">
      <c r="A273" s="114">
        <v>42556</v>
      </c>
      <c r="B273" s="40" t="s">
        <v>1616</v>
      </c>
      <c r="C273" s="77" t="s">
        <v>1720</v>
      </c>
      <c r="D273" s="40" t="s">
        <v>3198</v>
      </c>
    </row>
    <row r="274" spans="1:4" s="38" customFormat="1" x14ac:dyDescent="0.3">
      <c r="A274" s="114">
        <v>42556</v>
      </c>
      <c r="B274" s="40" t="s">
        <v>1619</v>
      </c>
      <c r="C274" s="77" t="s">
        <v>1722</v>
      </c>
      <c r="D274" s="40" t="s">
        <v>3199</v>
      </c>
    </row>
    <row r="275" spans="1:4" s="38" customFormat="1" x14ac:dyDescent="0.3">
      <c r="A275" s="114">
        <v>42556</v>
      </c>
      <c r="B275" s="40" t="s">
        <v>1622</v>
      </c>
      <c r="C275" s="77" t="s">
        <v>1724</v>
      </c>
      <c r="D275" s="40" t="s">
        <v>3200</v>
      </c>
    </row>
    <row r="276" spans="1:4" s="38" customFormat="1" x14ac:dyDescent="0.3">
      <c r="A276" s="114">
        <v>42556</v>
      </c>
      <c r="B276" s="40" t="s">
        <v>1725</v>
      </c>
      <c r="C276" s="77" t="s">
        <v>1727</v>
      </c>
      <c r="D276" s="40" t="s">
        <v>3201</v>
      </c>
    </row>
    <row r="277" spans="1:4" s="38" customFormat="1" x14ac:dyDescent="0.3">
      <c r="A277" s="114">
        <v>42556</v>
      </c>
      <c r="B277" s="40" t="s">
        <v>1625</v>
      </c>
      <c r="C277" s="77" t="s">
        <v>1729</v>
      </c>
      <c r="D277" s="40" t="s">
        <v>3202</v>
      </c>
    </row>
    <row r="278" spans="1:4" s="38" customFormat="1" x14ac:dyDescent="0.3">
      <c r="A278" s="114">
        <v>42556</v>
      </c>
      <c r="B278" s="40" t="s">
        <v>1730</v>
      </c>
      <c r="C278" s="77" t="s">
        <v>1732</v>
      </c>
      <c r="D278" s="40" t="s">
        <v>3203</v>
      </c>
    </row>
    <row r="279" spans="1:4" s="38" customFormat="1" x14ac:dyDescent="0.3">
      <c r="A279" s="114">
        <v>42556</v>
      </c>
      <c r="B279" s="40" t="s">
        <v>1628</v>
      </c>
      <c r="C279" s="77" t="s">
        <v>1734</v>
      </c>
      <c r="D279" s="40" t="s">
        <v>3204</v>
      </c>
    </row>
    <row r="280" spans="1:4" s="38" customFormat="1" x14ac:dyDescent="0.3">
      <c r="A280" s="114">
        <v>42556</v>
      </c>
      <c r="B280" s="40" t="s">
        <v>1735</v>
      </c>
      <c r="C280" s="77" t="s">
        <v>1737</v>
      </c>
      <c r="D280" s="40" t="s">
        <v>3205</v>
      </c>
    </row>
    <row r="281" spans="1:4" s="38" customFormat="1" x14ac:dyDescent="0.3">
      <c r="A281" s="114">
        <v>42556</v>
      </c>
      <c r="B281" s="40" t="s">
        <v>1631</v>
      </c>
      <c r="C281" s="77" t="s">
        <v>1739</v>
      </c>
      <c r="D281" s="40" t="s">
        <v>3206</v>
      </c>
    </row>
    <row r="282" spans="1:4" s="38" customFormat="1" x14ac:dyDescent="0.3">
      <c r="A282" s="114">
        <v>42556</v>
      </c>
      <c r="B282" s="40" t="s">
        <v>1740</v>
      </c>
      <c r="C282" s="77" t="s">
        <v>1742</v>
      </c>
      <c r="D282" s="40" t="s">
        <v>3207</v>
      </c>
    </row>
    <row r="283" spans="1:4" s="38" customFormat="1" x14ac:dyDescent="0.3">
      <c r="A283" s="114">
        <v>42556</v>
      </c>
      <c r="B283" s="40" t="s">
        <v>1634</v>
      </c>
      <c r="C283" s="77" t="s">
        <v>1744</v>
      </c>
      <c r="D283" s="40" t="s">
        <v>3208</v>
      </c>
    </row>
    <row r="284" spans="1:4" s="38" customFormat="1" x14ac:dyDescent="0.3">
      <c r="A284" s="114">
        <v>42556</v>
      </c>
      <c r="B284" s="40" t="s">
        <v>1745</v>
      </c>
      <c r="C284" s="77" t="s">
        <v>1747</v>
      </c>
      <c r="D284" s="40" t="s">
        <v>3209</v>
      </c>
    </row>
    <row r="285" spans="1:4" s="38" customFormat="1" x14ac:dyDescent="0.3">
      <c r="A285" s="114">
        <v>42556</v>
      </c>
      <c r="B285" s="40" t="s">
        <v>1637</v>
      </c>
      <c r="C285" s="77" t="s">
        <v>1749</v>
      </c>
      <c r="D285" s="40" t="s">
        <v>3210</v>
      </c>
    </row>
    <row r="286" spans="1:4" s="38" customFormat="1" x14ac:dyDescent="0.3">
      <c r="A286" s="114">
        <v>42556</v>
      </c>
      <c r="B286" s="40" t="s">
        <v>1750</v>
      </c>
      <c r="C286" s="77" t="s">
        <v>1752</v>
      </c>
      <c r="D286" s="40" t="s">
        <v>3211</v>
      </c>
    </row>
    <row r="287" spans="1:4" s="38" customFormat="1" x14ac:dyDescent="0.3">
      <c r="A287" s="114">
        <v>42556</v>
      </c>
      <c r="B287" s="40" t="s">
        <v>1640</v>
      </c>
      <c r="C287" s="77" t="s">
        <v>1754</v>
      </c>
      <c r="D287" s="40" t="s">
        <v>3212</v>
      </c>
    </row>
    <row r="288" spans="1:4" s="38" customFormat="1" x14ac:dyDescent="0.3">
      <c r="A288" s="114">
        <v>42556</v>
      </c>
      <c r="B288" s="40" t="s">
        <v>1755</v>
      </c>
      <c r="C288" s="77" t="s">
        <v>1757</v>
      </c>
      <c r="D288" s="40" t="s">
        <v>3213</v>
      </c>
    </row>
    <row r="289" spans="1:4" s="38" customFormat="1" x14ac:dyDescent="0.3">
      <c r="A289" s="114">
        <v>42556</v>
      </c>
      <c r="B289" s="40" t="s">
        <v>1643</v>
      </c>
      <c r="C289" s="77" t="s">
        <v>1759</v>
      </c>
      <c r="D289" s="40" t="s">
        <v>3214</v>
      </c>
    </row>
    <row r="290" spans="1:4" s="38" customFormat="1" x14ac:dyDescent="0.3">
      <c r="A290" s="114">
        <v>42556</v>
      </c>
      <c r="B290" s="40" t="s">
        <v>1760</v>
      </c>
      <c r="C290" s="77" t="s">
        <v>1762</v>
      </c>
      <c r="D290" s="40" t="s">
        <v>3215</v>
      </c>
    </row>
    <row r="291" spans="1:4" s="38" customFormat="1" x14ac:dyDescent="0.3">
      <c r="A291" s="114">
        <v>42556</v>
      </c>
      <c r="B291" s="40" t="s">
        <v>1647</v>
      </c>
      <c r="C291" s="77" t="s">
        <v>1764</v>
      </c>
      <c r="D291" s="40" t="s">
        <v>3216</v>
      </c>
    </row>
    <row r="292" spans="1:4" s="38" customFormat="1" x14ac:dyDescent="0.3">
      <c r="A292" s="114">
        <v>42556</v>
      </c>
      <c r="B292" s="40" t="s">
        <v>1650</v>
      </c>
      <c r="C292" s="77" t="s">
        <v>3225</v>
      </c>
      <c r="D292" s="40" t="s">
        <v>3217</v>
      </c>
    </row>
    <row r="293" spans="1:4" s="38" customFormat="1" x14ac:dyDescent="0.3">
      <c r="A293" s="114">
        <v>42556</v>
      </c>
      <c r="B293" s="40" t="s">
        <v>1767</v>
      </c>
      <c r="C293" s="77" t="s">
        <v>1769</v>
      </c>
      <c r="D293" s="40" t="s">
        <v>3218</v>
      </c>
    </row>
    <row r="294" spans="1:4" s="38" customFormat="1" x14ac:dyDescent="0.3">
      <c r="A294" s="114">
        <v>42556</v>
      </c>
      <c r="B294" s="40" t="s">
        <v>1653</v>
      </c>
      <c r="C294" s="77" t="s">
        <v>1771</v>
      </c>
      <c r="D294" s="40" t="s">
        <v>3219</v>
      </c>
    </row>
    <row r="295" spans="1:4" s="38" customFormat="1" x14ac:dyDescent="0.3">
      <c r="A295" s="114">
        <v>42556</v>
      </c>
      <c r="B295" s="40" t="s">
        <v>1772</v>
      </c>
      <c r="C295" s="77" t="s">
        <v>1774</v>
      </c>
      <c r="D295" s="40" t="s">
        <v>3220</v>
      </c>
    </row>
    <row r="296" spans="1:4" s="38" customFormat="1" x14ac:dyDescent="0.3">
      <c r="A296" s="114">
        <v>42556</v>
      </c>
      <c r="B296" s="40" t="s">
        <v>1656</v>
      </c>
      <c r="C296" s="77" t="s">
        <v>1776</v>
      </c>
      <c r="D296" s="40" t="s">
        <v>3221</v>
      </c>
    </row>
    <row r="297" spans="1:4" s="38" customFormat="1" x14ac:dyDescent="0.3">
      <c r="A297" s="114">
        <v>42556</v>
      </c>
      <c r="B297" s="40" t="s">
        <v>1181</v>
      </c>
      <c r="C297" s="77" t="s">
        <v>1777</v>
      </c>
      <c r="D297" s="40" t="s">
        <v>3222</v>
      </c>
    </row>
    <row r="298" spans="1:4" s="38" customFormat="1" x14ac:dyDescent="0.3">
      <c r="A298" s="114">
        <v>42556</v>
      </c>
      <c r="B298" s="40" t="s">
        <v>1193</v>
      </c>
      <c r="C298" s="77" t="s">
        <v>1778</v>
      </c>
      <c r="D298" s="40" t="s">
        <v>3223</v>
      </c>
    </row>
    <row r="299" spans="1:4" s="38" customFormat="1" x14ac:dyDescent="0.3">
      <c r="A299" s="114">
        <v>42556</v>
      </c>
      <c r="B299" s="40" t="s">
        <v>1196</v>
      </c>
      <c r="C299" s="77" t="s">
        <v>1779</v>
      </c>
      <c r="D299" s="40" t="s">
        <v>3224</v>
      </c>
    </row>
    <row r="300" spans="1:4" s="38" customFormat="1" x14ac:dyDescent="0.3">
      <c r="A300" s="114">
        <v>42556</v>
      </c>
      <c r="B300" s="39" t="s">
        <v>304</v>
      </c>
      <c r="C300" s="77" t="s">
        <v>306</v>
      </c>
      <c r="D300" s="39" t="s">
        <v>3243</v>
      </c>
    </row>
    <row r="301" spans="1:4" s="38" customFormat="1" x14ac:dyDescent="0.3">
      <c r="A301" s="114">
        <v>42556</v>
      </c>
      <c r="B301" s="39" t="s">
        <v>676</v>
      </c>
      <c r="C301" s="77" t="s">
        <v>678</v>
      </c>
      <c r="D301" s="39" t="s">
        <v>3247</v>
      </c>
    </row>
    <row r="302" spans="1:4" s="38" customFormat="1" x14ac:dyDescent="0.3">
      <c r="A302" s="114">
        <v>42556</v>
      </c>
      <c r="B302" s="39" t="s">
        <v>1008</v>
      </c>
      <c r="C302" s="77" t="s">
        <v>3241</v>
      </c>
      <c r="D302" s="39" t="s">
        <v>3244</v>
      </c>
    </row>
    <row r="303" spans="1:4" s="38" customFormat="1" x14ac:dyDescent="0.3">
      <c r="A303" s="114">
        <v>42556</v>
      </c>
      <c r="B303" s="39" t="s">
        <v>1011</v>
      </c>
      <c r="C303" s="77" t="s">
        <v>3242</v>
      </c>
      <c r="D303" s="39" t="s">
        <v>3245</v>
      </c>
    </row>
    <row r="304" spans="1:4" s="38" customFormat="1" x14ac:dyDescent="0.3">
      <c r="A304" s="114">
        <v>42556</v>
      </c>
      <c r="B304" s="39" t="s">
        <v>679</v>
      </c>
      <c r="C304" s="77" t="s">
        <v>681</v>
      </c>
      <c r="D304" s="39" t="s">
        <v>3246</v>
      </c>
    </row>
    <row r="305" spans="1:4" s="38" customFormat="1" x14ac:dyDescent="0.3">
      <c r="A305" s="102">
        <v>42647</v>
      </c>
      <c r="B305" s="82" t="s">
        <v>359</v>
      </c>
      <c r="C305" s="32" t="s">
        <v>3327</v>
      </c>
      <c r="D305" s="32" t="s">
        <v>3328</v>
      </c>
    </row>
    <row r="306" spans="1:4" s="38" customFormat="1" x14ac:dyDescent="0.3">
      <c r="A306" s="102">
        <v>42647</v>
      </c>
      <c r="B306" s="82" t="s">
        <v>1013</v>
      </c>
      <c r="C306" s="32" t="s">
        <v>3323</v>
      </c>
      <c r="D306" s="81" t="s">
        <v>3325</v>
      </c>
    </row>
    <row r="307" spans="1:4" s="38" customFormat="1" x14ac:dyDescent="0.3">
      <c r="A307" s="102">
        <v>42647</v>
      </c>
      <c r="B307" s="82" t="s">
        <v>1016</v>
      </c>
      <c r="C307" s="32" t="s">
        <v>3324</v>
      </c>
      <c r="D307" s="32" t="s">
        <v>3326</v>
      </c>
    </row>
    <row r="308" spans="1:4" s="38" customFormat="1" x14ac:dyDescent="0.3">
      <c r="A308" s="102">
        <v>42647</v>
      </c>
      <c r="B308" s="82" t="s">
        <v>979</v>
      </c>
      <c r="C308" s="32" t="s">
        <v>2761</v>
      </c>
      <c r="D308" s="32" t="s">
        <v>3330</v>
      </c>
    </row>
    <row r="309" spans="1:4" s="38" customFormat="1" x14ac:dyDescent="0.3">
      <c r="A309" s="102">
        <v>42647</v>
      </c>
      <c r="B309" s="82" t="s">
        <v>980</v>
      </c>
      <c r="C309" s="32" t="s">
        <v>2762</v>
      </c>
      <c r="D309" s="32" t="s">
        <v>3331</v>
      </c>
    </row>
    <row r="310" spans="1:4" s="38" customFormat="1" x14ac:dyDescent="0.3">
      <c r="A310" s="102">
        <v>42647</v>
      </c>
      <c r="B310" s="82" t="s">
        <v>981</v>
      </c>
      <c r="C310" s="32" t="s">
        <v>2763</v>
      </c>
      <c r="D310" s="32" t="s">
        <v>3332</v>
      </c>
    </row>
    <row r="311" spans="1:4" s="38" customFormat="1" x14ac:dyDescent="0.3">
      <c r="A311" s="102">
        <v>42647</v>
      </c>
      <c r="B311" s="82" t="s">
        <v>982</v>
      </c>
      <c r="C311" s="32" t="s">
        <v>2764</v>
      </c>
      <c r="D311" s="32" t="s">
        <v>3333</v>
      </c>
    </row>
    <row r="312" spans="1:4" s="84" customFormat="1" x14ac:dyDescent="0.3">
      <c r="A312" s="102">
        <v>42647</v>
      </c>
      <c r="B312" s="83" t="s">
        <v>2141</v>
      </c>
      <c r="C312" s="32" t="s">
        <v>2774</v>
      </c>
      <c r="D312" s="32" t="s">
        <v>3335</v>
      </c>
    </row>
    <row r="313" spans="1:4" s="84" customFormat="1" x14ac:dyDescent="0.3">
      <c r="A313" s="102">
        <v>42647</v>
      </c>
      <c r="B313" s="83" t="s">
        <v>2142</v>
      </c>
      <c r="C313" s="32" t="s">
        <v>2775</v>
      </c>
      <c r="D313" s="32" t="s">
        <v>3336</v>
      </c>
    </row>
    <row r="314" spans="1:4" s="84" customFormat="1" x14ac:dyDescent="0.3">
      <c r="A314" s="105">
        <v>42691</v>
      </c>
      <c r="B314" s="89" t="s">
        <v>626</v>
      </c>
      <c r="C314" s="30" t="s">
        <v>1863</v>
      </c>
      <c r="D314" s="30" t="s">
        <v>3347</v>
      </c>
    </row>
    <row r="315" spans="1:4" x14ac:dyDescent="0.3">
      <c r="A315" s="98"/>
    </row>
    <row r="316" spans="1:4" x14ac:dyDescent="0.3">
      <c r="A316" s="5" t="s">
        <v>3836</v>
      </c>
      <c r="B316" s="5" t="str">
        <f>"Change in source ("&amp;COUNTA(B317:B343)&amp;")"</f>
        <v>Change in source (26)</v>
      </c>
      <c r="C316" s="5" t="s">
        <v>307</v>
      </c>
      <c r="D316" s="5" t="s">
        <v>308</v>
      </c>
    </row>
    <row r="317" spans="1:4" s="38" customFormat="1" x14ac:dyDescent="0.3">
      <c r="A317" s="97">
        <v>42471</v>
      </c>
      <c r="B317" s="37" t="s">
        <v>1572</v>
      </c>
      <c r="C317" s="37" t="s">
        <v>1273</v>
      </c>
      <c r="D317" s="37" t="s">
        <v>3068</v>
      </c>
    </row>
    <row r="318" spans="1:4" s="38" customFormat="1" x14ac:dyDescent="0.3">
      <c r="A318" s="97">
        <v>42471</v>
      </c>
      <c r="B318" s="37" t="s">
        <v>2641</v>
      </c>
      <c r="C318" s="37" t="s">
        <v>2650</v>
      </c>
      <c r="D318" s="37" t="s">
        <v>3069</v>
      </c>
    </row>
    <row r="319" spans="1:4" s="38" customFormat="1" x14ac:dyDescent="0.3">
      <c r="A319" s="97">
        <v>42471</v>
      </c>
      <c r="B319" s="37" t="s">
        <v>2642</v>
      </c>
      <c r="C319" s="37" t="s">
        <v>2650</v>
      </c>
      <c r="D319" s="37" t="s">
        <v>3069</v>
      </c>
    </row>
    <row r="320" spans="1:4" s="38" customFormat="1" x14ac:dyDescent="0.3">
      <c r="A320" s="97">
        <v>42471</v>
      </c>
      <c r="B320" s="37" t="s">
        <v>1049</v>
      </c>
      <c r="C320" s="37" t="s">
        <v>2650</v>
      </c>
      <c r="D320" s="37" t="s">
        <v>3069</v>
      </c>
    </row>
    <row r="321" spans="1:4" s="38" customFormat="1" x14ac:dyDescent="0.3">
      <c r="A321" s="97">
        <v>42471</v>
      </c>
      <c r="B321" s="37" t="s">
        <v>2643</v>
      </c>
      <c r="C321" s="37" t="s">
        <v>2650</v>
      </c>
      <c r="D321" s="37" t="s">
        <v>3069</v>
      </c>
    </row>
    <row r="322" spans="1:4" s="38" customFormat="1" x14ac:dyDescent="0.3">
      <c r="A322" s="97">
        <v>42471</v>
      </c>
      <c r="B322" s="37" t="s">
        <v>2249</v>
      </c>
      <c r="C322" s="37" t="s">
        <v>2721</v>
      </c>
      <c r="D322" s="37" t="s">
        <v>3114</v>
      </c>
    </row>
    <row r="323" spans="1:4" s="38" customFormat="1" x14ac:dyDescent="0.3">
      <c r="A323" s="97">
        <v>42471</v>
      </c>
      <c r="B323" s="37" t="s">
        <v>2251</v>
      </c>
      <c r="C323" s="37" t="s">
        <v>2721</v>
      </c>
      <c r="D323" s="37" t="s">
        <v>3114</v>
      </c>
    </row>
    <row r="324" spans="1:4" s="38" customFormat="1" x14ac:dyDescent="0.3">
      <c r="A324" s="97">
        <v>42471</v>
      </c>
      <c r="B324" s="37" t="s">
        <v>1322</v>
      </c>
      <c r="C324" s="37" t="s">
        <v>1273</v>
      </c>
      <c r="D324" s="37" t="s">
        <v>3068</v>
      </c>
    </row>
    <row r="325" spans="1:4" s="38" customFormat="1" x14ac:dyDescent="0.3">
      <c r="A325" s="97">
        <v>42471</v>
      </c>
      <c r="B325" s="37" t="s">
        <v>3093</v>
      </c>
      <c r="C325" s="37" t="s">
        <v>3115</v>
      </c>
      <c r="D325" s="37" t="s">
        <v>413</v>
      </c>
    </row>
    <row r="326" spans="1:4" s="38" customFormat="1" x14ac:dyDescent="0.3">
      <c r="A326" s="97">
        <v>42471</v>
      </c>
      <c r="B326" s="37" t="s">
        <v>3094</v>
      </c>
      <c r="C326" s="37" t="s">
        <v>3115</v>
      </c>
      <c r="D326" s="37" t="s">
        <v>413</v>
      </c>
    </row>
    <row r="327" spans="1:4" s="38" customFormat="1" x14ac:dyDescent="0.3">
      <c r="A327" s="97">
        <v>42471</v>
      </c>
      <c r="B327" s="37" t="s">
        <v>3095</v>
      </c>
      <c r="C327" s="37" t="s">
        <v>3115</v>
      </c>
      <c r="D327" s="37" t="s">
        <v>413</v>
      </c>
    </row>
    <row r="328" spans="1:4" s="38" customFormat="1" x14ac:dyDescent="0.3">
      <c r="A328" s="97">
        <v>42471</v>
      </c>
      <c r="B328" s="37" t="s">
        <v>2131</v>
      </c>
      <c r="C328" s="37" t="s">
        <v>2116</v>
      </c>
      <c r="D328" s="37" t="s">
        <v>3117</v>
      </c>
    </row>
    <row r="329" spans="1:4" s="38" customFormat="1" x14ac:dyDescent="0.3">
      <c r="A329" s="97">
        <v>42471</v>
      </c>
      <c r="B329" s="37" t="s">
        <v>1006</v>
      </c>
      <c r="C329" s="37" t="s">
        <v>1007</v>
      </c>
      <c r="D329" s="37" t="s">
        <v>3116</v>
      </c>
    </row>
    <row r="330" spans="1:4" s="38" customFormat="1" x14ac:dyDescent="0.3">
      <c r="A330" s="97">
        <v>42471</v>
      </c>
      <c r="B330" s="37" t="s">
        <v>304</v>
      </c>
      <c r="C330" s="37" t="s">
        <v>1007</v>
      </c>
      <c r="D330" s="37" t="s">
        <v>3116</v>
      </c>
    </row>
    <row r="331" spans="1:4" s="38" customFormat="1" x14ac:dyDescent="0.3">
      <c r="A331" s="97">
        <v>42471</v>
      </c>
      <c r="B331" s="37" t="s">
        <v>676</v>
      </c>
      <c r="C331" s="37" t="s">
        <v>1007</v>
      </c>
      <c r="D331" s="37" t="s">
        <v>3116</v>
      </c>
    </row>
    <row r="332" spans="1:4" s="38" customFormat="1" x14ac:dyDescent="0.3">
      <c r="A332" s="97">
        <v>42471</v>
      </c>
      <c r="B332" s="38" t="s">
        <v>679</v>
      </c>
      <c r="C332" s="37" t="s">
        <v>1007</v>
      </c>
      <c r="D332" s="37" t="s">
        <v>3118</v>
      </c>
    </row>
    <row r="333" spans="1:4" s="38" customFormat="1" x14ac:dyDescent="0.3">
      <c r="A333" s="104">
        <v>42535</v>
      </c>
      <c r="B333" s="74" t="s">
        <v>1519</v>
      </c>
      <c r="C333" s="75" t="s">
        <v>2668</v>
      </c>
      <c r="D333" s="75" t="s">
        <v>3152</v>
      </c>
    </row>
    <row r="334" spans="1:4" s="38" customFormat="1" x14ac:dyDescent="0.3">
      <c r="A334" s="104">
        <v>42535</v>
      </c>
      <c r="B334" s="74" t="s">
        <v>1520</v>
      </c>
      <c r="C334" s="75" t="s">
        <v>2668</v>
      </c>
      <c r="D334" s="75" t="s">
        <v>3152</v>
      </c>
    </row>
    <row r="335" spans="1:4" s="38" customFormat="1" x14ac:dyDescent="0.3">
      <c r="A335" s="102">
        <v>42647</v>
      </c>
      <c r="B335" s="85" t="s">
        <v>2143</v>
      </c>
      <c r="C335" s="32" t="s">
        <v>2757</v>
      </c>
      <c r="D335" s="32" t="s">
        <v>3334</v>
      </c>
    </row>
    <row r="336" spans="1:4" s="38" customFormat="1" x14ac:dyDescent="0.3">
      <c r="A336" s="102">
        <v>42647</v>
      </c>
      <c r="B336" s="85" t="s">
        <v>2736</v>
      </c>
      <c r="C336" s="32" t="s">
        <v>2757</v>
      </c>
      <c r="D336" s="32" t="s">
        <v>3334</v>
      </c>
    </row>
    <row r="337" spans="1:4" s="38" customFormat="1" x14ac:dyDescent="0.3">
      <c r="A337" s="102">
        <v>42647</v>
      </c>
      <c r="B337" s="85" t="s">
        <v>2141</v>
      </c>
      <c r="C337" s="32" t="s">
        <v>2757</v>
      </c>
      <c r="D337" s="32" t="s">
        <v>3334</v>
      </c>
    </row>
    <row r="338" spans="1:4" s="38" customFormat="1" x14ac:dyDescent="0.3">
      <c r="A338" s="102">
        <v>42647</v>
      </c>
      <c r="B338" s="85" t="s">
        <v>2144</v>
      </c>
      <c r="C338" s="32" t="s">
        <v>2757</v>
      </c>
      <c r="D338" s="32" t="s">
        <v>3334</v>
      </c>
    </row>
    <row r="339" spans="1:4" s="38" customFormat="1" x14ac:dyDescent="0.3">
      <c r="A339" s="102">
        <v>42647</v>
      </c>
      <c r="B339" s="85" t="s">
        <v>2737</v>
      </c>
      <c r="C339" s="32" t="s">
        <v>2757</v>
      </c>
      <c r="D339" s="32" t="s">
        <v>3334</v>
      </c>
    </row>
    <row r="340" spans="1:4" s="38" customFormat="1" x14ac:dyDescent="0.3">
      <c r="A340" s="102">
        <v>42647</v>
      </c>
      <c r="B340" s="85" t="s">
        <v>2142</v>
      </c>
      <c r="C340" s="32" t="s">
        <v>2757</v>
      </c>
      <c r="D340" s="32" t="s">
        <v>3334</v>
      </c>
    </row>
    <row r="341" spans="1:4" s="84" customFormat="1" x14ac:dyDescent="0.3">
      <c r="A341" s="105">
        <v>42691</v>
      </c>
      <c r="B341" s="89" t="s">
        <v>2249</v>
      </c>
      <c r="C341" s="30" t="s">
        <v>3114</v>
      </c>
      <c r="D341" s="30" t="s">
        <v>3349</v>
      </c>
    </row>
    <row r="342" spans="1:4" s="84" customFormat="1" x14ac:dyDescent="0.3">
      <c r="A342" s="105">
        <v>42691</v>
      </c>
      <c r="B342" s="89" t="s">
        <v>2251</v>
      </c>
      <c r="C342" s="30" t="s">
        <v>3114</v>
      </c>
      <c r="D342" s="30" t="s">
        <v>3349</v>
      </c>
    </row>
    <row r="343" spans="1:4" x14ac:dyDescent="0.3">
      <c r="A343" s="98"/>
    </row>
    <row r="344" spans="1:4" x14ac:dyDescent="0.3">
      <c r="A344" s="5" t="s">
        <v>3836</v>
      </c>
      <c r="B344" s="5" t="str">
        <f>"Change in topic ("&amp;COUNTA(B345:B346)&amp;")"</f>
        <v>Change in topic (0)</v>
      </c>
      <c r="C344" s="5" t="s">
        <v>374</v>
      </c>
      <c r="D344" s="5" t="s">
        <v>375</v>
      </c>
    </row>
    <row r="345" spans="1:4" x14ac:dyDescent="0.3">
      <c r="A345" s="98"/>
    </row>
    <row r="346" spans="1:4" x14ac:dyDescent="0.3">
      <c r="A346" s="98"/>
    </row>
    <row r="347" spans="1:4" x14ac:dyDescent="0.3">
      <c r="A347" s="98"/>
    </row>
    <row r="348" spans="1:4" x14ac:dyDescent="0.3">
      <c r="A348" s="98"/>
    </row>
    <row r="349" spans="1:4" x14ac:dyDescent="0.3">
      <c r="A349" s="98"/>
    </row>
    <row r="350" spans="1:4" x14ac:dyDescent="0.3">
      <c r="A350" s="98"/>
    </row>
    <row r="351" spans="1:4" x14ac:dyDescent="0.3">
      <c r="A351" s="98"/>
    </row>
    <row r="352" spans="1:4" x14ac:dyDescent="0.3">
      <c r="A352" s="98"/>
    </row>
    <row r="353" spans="1:1" x14ac:dyDescent="0.3">
      <c r="A353" s="98"/>
    </row>
    <row r="354" spans="1:1" x14ac:dyDescent="0.3">
      <c r="A354" s="98"/>
    </row>
    <row r="355" spans="1:1" x14ac:dyDescent="0.3">
      <c r="A355" s="98"/>
    </row>
    <row r="356" spans="1:1" x14ac:dyDescent="0.3">
      <c r="A356" s="98"/>
    </row>
    <row r="357" spans="1:1" x14ac:dyDescent="0.3">
      <c r="A357" s="98"/>
    </row>
    <row r="358" spans="1:1" x14ac:dyDescent="0.3">
      <c r="A358" s="98"/>
    </row>
    <row r="359" spans="1:1" x14ac:dyDescent="0.3">
      <c r="A359" s="98"/>
    </row>
    <row r="360" spans="1:1" x14ac:dyDescent="0.3">
      <c r="A360" s="98"/>
    </row>
    <row r="361" spans="1:1" x14ac:dyDescent="0.3">
      <c r="A361" s="98"/>
    </row>
    <row r="362" spans="1:1" x14ac:dyDescent="0.3">
      <c r="A362" s="98"/>
    </row>
    <row r="363" spans="1:1" x14ac:dyDescent="0.3">
      <c r="A363" s="98"/>
    </row>
    <row r="364" spans="1:1" x14ac:dyDescent="0.3">
      <c r="A364" s="98"/>
    </row>
    <row r="365" spans="1:1" x14ac:dyDescent="0.3">
      <c r="A365" s="98"/>
    </row>
    <row r="366" spans="1:1" x14ac:dyDescent="0.3">
      <c r="A366" s="98"/>
    </row>
    <row r="367" spans="1:1" x14ac:dyDescent="0.3">
      <c r="A367" s="98"/>
    </row>
    <row r="368" spans="1:1" x14ac:dyDescent="0.3">
      <c r="A368" s="98"/>
    </row>
    <row r="369" spans="1:1" x14ac:dyDescent="0.3">
      <c r="A369" s="98"/>
    </row>
    <row r="370" spans="1:1" x14ac:dyDescent="0.3">
      <c r="A370" s="98"/>
    </row>
    <row r="371" spans="1:1" x14ac:dyDescent="0.3">
      <c r="A371" s="98"/>
    </row>
    <row r="372" spans="1:1" x14ac:dyDescent="0.3">
      <c r="A372" s="98"/>
    </row>
    <row r="373" spans="1:1" x14ac:dyDescent="0.3">
      <c r="A373" s="98"/>
    </row>
    <row r="374" spans="1:1" x14ac:dyDescent="0.3">
      <c r="A374" s="98"/>
    </row>
    <row r="375" spans="1:1" x14ac:dyDescent="0.3">
      <c r="A375" s="98"/>
    </row>
    <row r="376" spans="1:1" x14ac:dyDescent="0.3">
      <c r="A376" s="98"/>
    </row>
    <row r="377" spans="1:1" x14ac:dyDescent="0.3">
      <c r="A377" s="98"/>
    </row>
    <row r="378" spans="1:1" x14ac:dyDescent="0.3">
      <c r="A378" s="98"/>
    </row>
    <row r="379" spans="1:1" x14ac:dyDescent="0.3">
      <c r="A379" s="98"/>
    </row>
    <row r="380" spans="1:1" x14ac:dyDescent="0.3">
      <c r="A380" s="98"/>
    </row>
    <row r="381" spans="1:1" x14ac:dyDescent="0.3">
      <c r="A381" s="98"/>
    </row>
    <row r="382" spans="1:1" x14ac:dyDescent="0.3">
      <c r="A382" s="98"/>
    </row>
    <row r="383" spans="1:1" x14ac:dyDescent="0.3">
      <c r="A383" s="98"/>
    </row>
    <row r="384" spans="1:1" x14ac:dyDescent="0.3">
      <c r="A384" s="98"/>
    </row>
    <row r="385" spans="1:1" x14ac:dyDescent="0.3">
      <c r="A385" s="98"/>
    </row>
    <row r="386" spans="1:1" x14ac:dyDescent="0.3">
      <c r="A386" s="98"/>
    </row>
    <row r="387" spans="1:1" x14ac:dyDescent="0.3">
      <c r="A387" s="98"/>
    </row>
    <row r="388" spans="1:1" x14ac:dyDescent="0.3">
      <c r="A388" s="98"/>
    </row>
    <row r="389" spans="1:1" x14ac:dyDescent="0.3">
      <c r="A389" s="98"/>
    </row>
    <row r="390" spans="1:1" x14ac:dyDescent="0.3">
      <c r="A390" s="98"/>
    </row>
    <row r="391" spans="1:1" x14ac:dyDescent="0.3">
      <c r="A391" s="98"/>
    </row>
    <row r="392" spans="1:1" x14ac:dyDescent="0.3">
      <c r="A392" s="98"/>
    </row>
    <row r="393" spans="1:1" x14ac:dyDescent="0.3">
      <c r="A393" s="98"/>
    </row>
    <row r="394" spans="1:1" x14ac:dyDescent="0.3">
      <c r="A394" s="98"/>
    </row>
    <row r="395" spans="1:1" x14ac:dyDescent="0.3">
      <c r="A395" s="98"/>
    </row>
    <row r="396" spans="1:1" x14ac:dyDescent="0.3">
      <c r="A396" s="98"/>
    </row>
    <row r="397" spans="1:1" x14ac:dyDescent="0.3">
      <c r="A397" s="98"/>
    </row>
    <row r="398" spans="1:1" x14ac:dyDescent="0.3">
      <c r="A398" s="98"/>
    </row>
    <row r="399" spans="1:1" x14ac:dyDescent="0.3">
      <c r="A399" s="98"/>
    </row>
    <row r="400" spans="1:1" x14ac:dyDescent="0.3">
      <c r="A400" s="98"/>
    </row>
    <row r="401" spans="1:1" x14ac:dyDescent="0.3">
      <c r="A401" s="98"/>
    </row>
    <row r="402" spans="1:1" x14ac:dyDescent="0.3">
      <c r="A402" s="98"/>
    </row>
    <row r="403" spans="1:1" x14ac:dyDescent="0.3">
      <c r="A403" s="98"/>
    </row>
    <row r="404" spans="1:1" x14ac:dyDescent="0.3">
      <c r="A404" s="98"/>
    </row>
    <row r="405" spans="1:1" x14ac:dyDescent="0.3">
      <c r="A405" s="98"/>
    </row>
    <row r="406" spans="1:1" x14ac:dyDescent="0.3">
      <c r="A406" s="98"/>
    </row>
    <row r="407" spans="1:1" x14ac:dyDescent="0.3">
      <c r="A407" s="98"/>
    </row>
    <row r="408" spans="1:1" x14ac:dyDescent="0.3">
      <c r="A408" s="98"/>
    </row>
    <row r="409" spans="1:1" x14ac:dyDescent="0.3">
      <c r="A409" s="98"/>
    </row>
    <row r="410" spans="1:1" x14ac:dyDescent="0.3">
      <c r="A410" s="98"/>
    </row>
    <row r="411" spans="1:1" x14ac:dyDescent="0.3">
      <c r="A411" s="98"/>
    </row>
    <row r="412" spans="1:1" x14ac:dyDescent="0.3">
      <c r="A412" s="98"/>
    </row>
    <row r="413" spans="1:1" x14ac:dyDescent="0.3">
      <c r="A413" s="98"/>
    </row>
    <row r="414" spans="1:1" x14ac:dyDescent="0.3">
      <c r="A414" s="98"/>
    </row>
    <row r="415" spans="1:1" x14ac:dyDescent="0.3">
      <c r="A415" s="98"/>
    </row>
    <row r="416" spans="1:1" x14ac:dyDescent="0.3">
      <c r="A416" s="98"/>
    </row>
    <row r="417" spans="1:1" x14ac:dyDescent="0.3">
      <c r="A417" s="98"/>
    </row>
    <row r="418" spans="1:1" x14ac:dyDescent="0.3">
      <c r="A418" s="98"/>
    </row>
    <row r="419" spans="1:1" x14ac:dyDescent="0.3">
      <c r="A419" s="98"/>
    </row>
    <row r="420" spans="1:1" x14ac:dyDescent="0.3">
      <c r="A420" s="98"/>
    </row>
    <row r="421" spans="1:1" x14ac:dyDescent="0.3">
      <c r="A421" s="98"/>
    </row>
    <row r="422" spans="1:1" x14ac:dyDescent="0.3">
      <c r="A422" s="98"/>
    </row>
    <row r="423" spans="1:1" x14ac:dyDescent="0.3">
      <c r="A423" s="98"/>
    </row>
    <row r="424" spans="1:1" x14ac:dyDescent="0.3">
      <c r="A424" s="98"/>
    </row>
    <row r="425" spans="1:1" x14ac:dyDescent="0.3">
      <c r="A425" s="98"/>
    </row>
    <row r="426" spans="1:1" x14ac:dyDescent="0.3">
      <c r="A426" s="98"/>
    </row>
    <row r="427" spans="1:1" x14ac:dyDescent="0.3">
      <c r="A427" s="98"/>
    </row>
    <row r="428" spans="1:1" x14ac:dyDescent="0.3">
      <c r="A428" s="98"/>
    </row>
    <row r="429" spans="1:1" x14ac:dyDescent="0.3">
      <c r="A429" s="98"/>
    </row>
    <row r="430" spans="1:1" x14ac:dyDescent="0.3">
      <c r="A430" s="98"/>
    </row>
    <row r="431" spans="1:1" x14ac:dyDescent="0.3">
      <c r="A431" s="98"/>
    </row>
    <row r="432" spans="1:1" x14ac:dyDescent="0.3">
      <c r="A432" s="98"/>
    </row>
    <row r="433" spans="1:1" x14ac:dyDescent="0.3">
      <c r="A433" s="98"/>
    </row>
    <row r="434" spans="1:1" x14ac:dyDescent="0.3">
      <c r="A434" s="98"/>
    </row>
    <row r="435" spans="1:1" x14ac:dyDescent="0.3">
      <c r="A435" s="98"/>
    </row>
    <row r="436" spans="1:1" x14ac:dyDescent="0.3">
      <c r="A436" s="98"/>
    </row>
    <row r="437" spans="1:1" x14ac:dyDescent="0.3">
      <c r="A437" s="98"/>
    </row>
    <row r="438" spans="1:1" x14ac:dyDescent="0.3">
      <c r="A438" s="98"/>
    </row>
    <row r="439" spans="1:1" x14ac:dyDescent="0.3">
      <c r="A439" s="98"/>
    </row>
    <row r="440" spans="1:1" x14ac:dyDescent="0.3">
      <c r="A440" s="98"/>
    </row>
    <row r="441" spans="1:1" x14ac:dyDescent="0.3">
      <c r="A441" s="98"/>
    </row>
    <row r="442" spans="1:1" x14ac:dyDescent="0.3">
      <c r="A442" s="98"/>
    </row>
    <row r="443" spans="1:1" x14ac:dyDescent="0.3">
      <c r="A443" s="98"/>
    </row>
    <row r="444" spans="1:1" x14ac:dyDescent="0.3">
      <c r="A444" s="98"/>
    </row>
    <row r="445" spans="1:1" x14ac:dyDescent="0.3">
      <c r="A445" s="98"/>
    </row>
    <row r="446" spans="1:1" x14ac:dyDescent="0.3">
      <c r="A446" s="98"/>
    </row>
    <row r="447" spans="1:1" x14ac:dyDescent="0.3">
      <c r="A447" s="98"/>
    </row>
    <row r="448" spans="1:1" x14ac:dyDescent="0.3">
      <c r="A448" s="98"/>
    </row>
    <row r="449" spans="1:1" x14ac:dyDescent="0.3">
      <c r="A449" s="98"/>
    </row>
    <row r="450" spans="1:1" x14ac:dyDescent="0.3">
      <c r="A450" s="98"/>
    </row>
    <row r="451" spans="1:1" x14ac:dyDescent="0.3">
      <c r="A451" s="98"/>
    </row>
    <row r="452" spans="1:1" x14ac:dyDescent="0.3">
      <c r="A452" s="98"/>
    </row>
    <row r="453" spans="1:1" x14ac:dyDescent="0.3">
      <c r="A453" s="98"/>
    </row>
    <row r="454" spans="1:1" x14ac:dyDescent="0.3">
      <c r="A454" s="98"/>
    </row>
    <row r="455" spans="1:1" x14ac:dyDescent="0.3">
      <c r="A455" s="98"/>
    </row>
    <row r="456" spans="1:1" x14ac:dyDescent="0.3">
      <c r="A456" s="98"/>
    </row>
    <row r="457" spans="1:1" x14ac:dyDescent="0.3">
      <c r="A457" s="98"/>
    </row>
    <row r="458" spans="1:1" x14ac:dyDescent="0.3">
      <c r="A458" s="98"/>
    </row>
    <row r="459" spans="1:1" x14ac:dyDescent="0.3">
      <c r="A459" s="98"/>
    </row>
    <row r="460" spans="1:1" x14ac:dyDescent="0.3">
      <c r="A460" s="98"/>
    </row>
    <row r="461" spans="1:1" x14ac:dyDescent="0.3">
      <c r="A461" s="98"/>
    </row>
    <row r="462" spans="1:1" x14ac:dyDescent="0.3">
      <c r="A462" s="98"/>
    </row>
    <row r="463" spans="1:1" x14ac:dyDescent="0.3">
      <c r="A463" s="98"/>
    </row>
    <row r="464" spans="1:1" x14ac:dyDescent="0.3">
      <c r="A464" s="98"/>
    </row>
    <row r="465" spans="1:1" x14ac:dyDescent="0.3">
      <c r="A465" s="98"/>
    </row>
    <row r="466" spans="1:1" x14ac:dyDescent="0.3">
      <c r="A466" s="98"/>
    </row>
    <row r="467" spans="1:1" x14ac:dyDescent="0.3">
      <c r="A467" s="98"/>
    </row>
    <row r="468" spans="1:1" x14ac:dyDescent="0.3">
      <c r="A468" s="98"/>
    </row>
    <row r="469" spans="1:1" x14ac:dyDescent="0.3">
      <c r="A469" s="98"/>
    </row>
    <row r="470" spans="1:1" x14ac:dyDescent="0.3">
      <c r="A470" s="98"/>
    </row>
    <row r="471" spans="1:1" x14ac:dyDescent="0.3">
      <c r="A471" s="98"/>
    </row>
    <row r="472" spans="1:1" x14ac:dyDescent="0.3">
      <c r="A472" s="98"/>
    </row>
    <row r="473" spans="1:1" x14ac:dyDescent="0.3">
      <c r="A473" s="98"/>
    </row>
    <row r="474" spans="1:1" x14ac:dyDescent="0.3">
      <c r="A474" s="98"/>
    </row>
    <row r="475" spans="1:1" x14ac:dyDescent="0.3">
      <c r="A475" s="98"/>
    </row>
    <row r="476" spans="1:1" x14ac:dyDescent="0.3">
      <c r="A476" s="98"/>
    </row>
    <row r="477" spans="1:1" x14ac:dyDescent="0.3">
      <c r="A477" s="98"/>
    </row>
    <row r="478" spans="1:1" x14ac:dyDescent="0.3">
      <c r="A478" s="98"/>
    </row>
    <row r="479" spans="1:1" x14ac:dyDescent="0.3">
      <c r="A479" s="98"/>
    </row>
    <row r="480" spans="1:1" x14ac:dyDescent="0.3">
      <c r="A480" s="98"/>
    </row>
    <row r="481" spans="1:1" x14ac:dyDescent="0.3">
      <c r="A481" s="98"/>
    </row>
    <row r="482" spans="1:1" x14ac:dyDescent="0.3">
      <c r="A482" s="98"/>
    </row>
    <row r="483" spans="1:1" x14ac:dyDescent="0.3">
      <c r="A483" s="98"/>
    </row>
    <row r="484" spans="1:1" x14ac:dyDescent="0.3">
      <c r="A484" s="98"/>
    </row>
    <row r="485" spans="1:1" x14ac:dyDescent="0.3">
      <c r="A485" s="98"/>
    </row>
    <row r="486" spans="1:1" x14ac:dyDescent="0.3">
      <c r="A486" s="98"/>
    </row>
    <row r="487" spans="1:1" x14ac:dyDescent="0.3">
      <c r="A487" s="98"/>
    </row>
    <row r="488" spans="1:1" x14ac:dyDescent="0.3">
      <c r="A488" s="98"/>
    </row>
    <row r="489" spans="1:1" x14ac:dyDescent="0.3">
      <c r="A489" s="98"/>
    </row>
    <row r="490" spans="1:1" x14ac:dyDescent="0.3">
      <c r="A490" s="98"/>
    </row>
    <row r="491" spans="1:1" x14ac:dyDescent="0.3">
      <c r="A491" s="98"/>
    </row>
    <row r="492" spans="1:1" x14ac:dyDescent="0.3">
      <c r="A492" s="98"/>
    </row>
    <row r="493" spans="1:1" x14ac:dyDescent="0.3">
      <c r="A493" s="98"/>
    </row>
    <row r="494" spans="1:1" x14ac:dyDescent="0.3">
      <c r="A494" s="98"/>
    </row>
    <row r="495" spans="1:1" x14ac:dyDescent="0.3">
      <c r="A495" s="98"/>
    </row>
    <row r="496" spans="1:1" x14ac:dyDescent="0.3">
      <c r="A496" s="98"/>
    </row>
    <row r="497" spans="1:1" x14ac:dyDescent="0.3">
      <c r="A497" s="98"/>
    </row>
    <row r="498" spans="1:1" x14ac:dyDescent="0.3">
      <c r="A498" s="98"/>
    </row>
    <row r="499" spans="1:1" x14ac:dyDescent="0.3">
      <c r="A499" s="98"/>
    </row>
    <row r="500" spans="1:1" x14ac:dyDescent="0.3">
      <c r="A500" s="98"/>
    </row>
    <row r="501" spans="1:1" x14ac:dyDescent="0.3">
      <c r="A501" s="98"/>
    </row>
    <row r="502" spans="1:1" x14ac:dyDescent="0.3">
      <c r="A502" s="98"/>
    </row>
    <row r="503" spans="1:1" x14ac:dyDescent="0.3">
      <c r="A503" s="98"/>
    </row>
    <row r="504" spans="1:1" x14ac:dyDescent="0.3">
      <c r="A504" s="98"/>
    </row>
    <row r="505" spans="1:1" x14ac:dyDescent="0.3">
      <c r="A505" s="98"/>
    </row>
    <row r="506" spans="1:1" x14ac:dyDescent="0.3">
      <c r="A506" s="98"/>
    </row>
    <row r="507" spans="1:1" x14ac:dyDescent="0.3">
      <c r="A507" s="98"/>
    </row>
    <row r="508" spans="1:1" x14ac:dyDescent="0.3">
      <c r="A508" s="98"/>
    </row>
    <row r="509" spans="1:1" x14ac:dyDescent="0.3">
      <c r="A509" s="98"/>
    </row>
    <row r="510" spans="1:1" x14ac:dyDescent="0.3">
      <c r="A510" s="98"/>
    </row>
    <row r="511" spans="1:1" x14ac:dyDescent="0.3">
      <c r="A511" s="98"/>
    </row>
    <row r="512" spans="1:1" x14ac:dyDescent="0.3">
      <c r="A512" s="98"/>
    </row>
    <row r="513" spans="1:1" x14ac:dyDescent="0.3">
      <c r="A513" s="98"/>
    </row>
    <row r="514" spans="1:1" x14ac:dyDescent="0.3">
      <c r="A514" s="98"/>
    </row>
    <row r="515" spans="1:1" x14ac:dyDescent="0.3">
      <c r="A515" s="98"/>
    </row>
    <row r="516" spans="1:1" x14ac:dyDescent="0.3">
      <c r="A516" s="98"/>
    </row>
    <row r="517" spans="1:1" x14ac:dyDescent="0.3">
      <c r="A517" s="98"/>
    </row>
    <row r="518" spans="1:1" x14ac:dyDescent="0.3">
      <c r="A518" s="98"/>
    </row>
    <row r="519" spans="1:1" x14ac:dyDescent="0.3">
      <c r="A519" s="98"/>
    </row>
    <row r="520" spans="1:1" x14ac:dyDescent="0.3">
      <c r="A520" s="98"/>
    </row>
    <row r="521" spans="1:1" x14ac:dyDescent="0.3">
      <c r="A521" s="98"/>
    </row>
    <row r="522" spans="1:1" x14ac:dyDescent="0.3">
      <c r="A522" s="98"/>
    </row>
    <row r="523" spans="1:1" x14ac:dyDescent="0.3">
      <c r="A523" s="98"/>
    </row>
    <row r="524" spans="1:1" x14ac:dyDescent="0.3">
      <c r="A524" s="98"/>
    </row>
    <row r="525" spans="1:1" x14ac:dyDescent="0.3">
      <c r="A525" s="98"/>
    </row>
    <row r="526" spans="1:1" x14ac:dyDescent="0.3">
      <c r="A526" s="98"/>
    </row>
    <row r="527" spans="1:1" x14ac:dyDescent="0.3">
      <c r="A527" s="98"/>
    </row>
    <row r="528" spans="1:1" x14ac:dyDescent="0.3">
      <c r="A528" s="98"/>
    </row>
    <row r="529" spans="1:1" x14ac:dyDescent="0.3">
      <c r="A529" s="98"/>
    </row>
    <row r="530" spans="1:1" x14ac:dyDescent="0.3">
      <c r="A530" s="98"/>
    </row>
    <row r="531" spans="1:1" x14ac:dyDescent="0.3">
      <c r="A531" s="98"/>
    </row>
    <row r="532" spans="1:1" x14ac:dyDescent="0.3">
      <c r="A532" s="98"/>
    </row>
    <row r="533" spans="1:1" x14ac:dyDescent="0.3">
      <c r="A533" s="98"/>
    </row>
    <row r="534" spans="1:1" x14ac:dyDescent="0.3">
      <c r="A534" s="98"/>
    </row>
    <row r="535" spans="1:1" x14ac:dyDescent="0.3">
      <c r="A535" s="98"/>
    </row>
    <row r="536" spans="1:1" x14ac:dyDescent="0.3">
      <c r="A536" s="98"/>
    </row>
    <row r="537" spans="1:1" x14ac:dyDescent="0.3">
      <c r="A537" s="98"/>
    </row>
    <row r="538" spans="1:1" x14ac:dyDescent="0.3">
      <c r="A538" s="98"/>
    </row>
    <row r="539" spans="1:1" x14ac:dyDescent="0.3">
      <c r="A539" s="98"/>
    </row>
    <row r="540" spans="1:1" x14ac:dyDescent="0.3">
      <c r="A540" s="98"/>
    </row>
    <row r="541" spans="1:1" x14ac:dyDescent="0.3">
      <c r="A541" s="98"/>
    </row>
    <row r="542" spans="1:1" x14ac:dyDescent="0.3">
      <c r="A542" s="98"/>
    </row>
    <row r="543" spans="1:1" x14ac:dyDescent="0.3">
      <c r="A543" s="98"/>
    </row>
    <row r="544" spans="1:1" x14ac:dyDescent="0.3">
      <c r="A544" s="98"/>
    </row>
    <row r="545" spans="1:1" x14ac:dyDescent="0.3">
      <c r="A545" s="98"/>
    </row>
    <row r="546" spans="1:1" x14ac:dyDescent="0.3">
      <c r="A546" s="98"/>
    </row>
    <row r="547" spans="1:1" x14ac:dyDescent="0.3">
      <c r="A547" s="98"/>
    </row>
    <row r="548" spans="1:1" x14ac:dyDescent="0.3">
      <c r="A548" s="98"/>
    </row>
    <row r="549" spans="1:1" x14ac:dyDescent="0.3">
      <c r="A549" s="98"/>
    </row>
    <row r="550" spans="1:1" x14ac:dyDescent="0.3">
      <c r="A550" s="98"/>
    </row>
    <row r="551" spans="1:1" x14ac:dyDescent="0.3">
      <c r="A551" s="98"/>
    </row>
    <row r="552" spans="1:1" x14ac:dyDescent="0.3">
      <c r="A552" s="98"/>
    </row>
    <row r="553" spans="1:1" x14ac:dyDescent="0.3">
      <c r="A553" s="98"/>
    </row>
    <row r="554" spans="1:1" x14ac:dyDescent="0.3">
      <c r="A554" s="98"/>
    </row>
    <row r="555" spans="1:1" x14ac:dyDescent="0.3">
      <c r="A555" s="98"/>
    </row>
    <row r="556" spans="1:1" x14ac:dyDescent="0.3">
      <c r="A556" s="98"/>
    </row>
    <row r="557" spans="1:1" x14ac:dyDescent="0.3">
      <c r="A557" s="98"/>
    </row>
    <row r="558" spans="1:1" x14ac:dyDescent="0.3">
      <c r="A558" s="98"/>
    </row>
    <row r="559" spans="1:1" x14ac:dyDescent="0.3">
      <c r="A559" s="98"/>
    </row>
    <row r="560" spans="1:1" x14ac:dyDescent="0.3">
      <c r="A560" s="98"/>
    </row>
    <row r="561" spans="1:1" x14ac:dyDescent="0.3">
      <c r="A561" s="98"/>
    </row>
    <row r="562" spans="1:1" x14ac:dyDescent="0.3">
      <c r="A562" s="98"/>
    </row>
    <row r="563" spans="1:1" x14ac:dyDescent="0.3">
      <c r="A563" s="98"/>
    </row>
    <row r="564" spans="1:1" x14ac:dyDescent="0.3">
      <c r="A564" s="98"/>
    </row>
    <row r="565" spans="1:1" x14ac:dyDescent="0.3">
      <c r="A565" s="98"/>
    </row>
    <row r="566" spans="1:1" x14ac:dyDescent="0.3">
      <c r="A566" s="98"/>
    </row>
    <row r="567" spans="1:1" x14ac:dyDescent="0.3">
      <c r="A567" s="98"/>
    </row>
    <row r="568" spans="1:1" x14ac:dyDescent="0.3">
      <c r="A568" s="98"/>
    </row>
    <row r="569" spans="1:1" x14ac:dyDescent="0.3">
      <c r="A569" s="98"/>
    </row>
    <row r="570" spans="1:1" x14ac:dyDescent="0.3">
      <c r="A570" s="98"/>
    </row>
    <row r="571" spans="1:1" x14ac:dyDescent="0.3">
      <c r="A571" s="98"/>
    </row>
    <row r="572" spans="1:1" x14ac:dyDescent="0.3">
      <c r="A572" s="98"/>
    </row>
    <row r="573" spans="1:1" x14ac:dyDescent="0.3">
      <c r="A573" s="98"/>
    </row>
    <row r="574" spans="1:1" x14ac:dyDescent="0.3">
      <c r="A574" s="98"/>
    </row>
    <row r="575" spans="1:1" x14ac:dyDescent="0.3">
      <c r="A575" s="98"/>
    </row>
    <row r="576" spans="1:1" x14ac:dyDescent="0.3">
      <c r="A576" s="98"/>
    </row>
    <row r="577" spans="1:1" x14ac:dyDescent="0.3">
      <c r="A577" s="98"/>
    </row>
    <row r="578" spans="1:1" x14ac:dyDescent="0.3">
      <c r="A578" s="98"/>
    </row>
    <row r="579" spans="1:1" x14ac:dyDescent="0.3">
      <c r="A579" s="98"/>
    </row>
    <row r="580" spans="1:1" x14ac:dyDescent="0.3">
      <c r="A580" s="98"/>
    </row>
    <row r="581" spans="1:1" x14ac:dyDescent="0.3">
      <c r="A581" s="98"/>
    </row>
    <row r="582" spans="1:1" x14ac:dyDescent="0.3">
      <c r="A582" s="98"/>
    </row>
    <row r="583" spans="1:1" x14ac:dyDescent="0.3">
      <c r="A583" s="98"/>
    </row>
    <row r="584" spans="1:1" x14ac:dyDescent="0.3">
      <c r="A584" s="98"/>
    </row>
    <row r="585" spans="1:1" x14ac:dyDescent="0.3">
      <c r="A585" s="98"/>
    </row>
    <row r="586" spans="1:1" x14ac:dyDescent="0.3">
      <c r="A586" s="98"/>
    </row>
    <row r="587" spans="1:1" x14ac:dyDescent="0.3">
      <c r="A587" s="98"/>
    </row>
    <row r="588" spans="1:1" x14ac:dyDescent="0.3">
      <c r="A588" s="98"/>
    </row>
    <row r="589" spans="1:1" x14ac:dyDescent="0.3">
      <c r="A589" s="98"/>
    </row>
    <row r="590" spans="1:1" x14ac:dyDescent="0.3">
      <c r="A590" s="98"/>
    </row>
    <row r="591" spans="1:1" x14ac:dyDescent="0.3">
      <c r="A591" s="98"/>
    </row>
    <row r="592" spans="1:1" x14ac:dyDescent="0.3">
      <c r="A592" s="98"/>
    </row>
    <row r="593" spans="1:1" x14ac:dyDescent="0.3">
      <c r="A593" s="98"/>
    </row>
    <row r="594" spans="1:1" x14ac:dyDescent="0.3">
      <c r="A594" s="98"/>
    </row>
    <row r="595" spans="1:1" x14ac:dyDescent="0.3">
      <c r="A595" s="98"/>
    </row>
    <row r="596" spans="1:1" x14ac:dyDescent="0.3">
      <c r="A596" s="98"/>
    </row>
    <row r="597" spans="1:1" x14ac:dyDescent="0.3">
      <c r="A597" s="98"/>
    </row>
    <row r="598" spans="1:1" x14ac:dyDescent="0.3">
      <c r="A598" s="98"/>
    </row>
    <row r="599" spans="1:1" x14ac:dyDescent="0.3">
      <c r="A599" s="98"/>
    </row>
    <row r="600" spans="1:1" x14ac:dyDescent="0.3">
      <c r="A600" s="98"/>
    </row>
    <row r="601" spans="1:1" x14ac:dyDescent="0.3">
      <c r="A601" s="98"/>
    </row>
    <row r="602" spans="1:1" x14ac:dyDescent="0.3">
      <c r="A602" s="98"/>
    </row>
    <row r="603" spans="1:1" x14ac:dyDescent="0.3">
      <c r="A603" s="98"/>
    </row>
    <row r="604" spans="1:1" x14ac:dyDescent="0.3">
      <c r="A604" s="98"/>
    </row>
    <row r="605" spans="1:1" x14ac:dyDescent="0.3">
      <c r="A605" s="98"/>
    </row>
    <row r="606" spans="1:1" x14ac:dyDescent="0.3">
      <c r="A606" s="98"/>
    </row>
    <row r="607" spans="1:1" x14ac:dyDescent="0.3">
      <c r="A607" s="98"/>
    </row>
    <row r="608" spans="1:1" x14ac:dyDescent="0.3">
      <c r="A608" s="98"/>
    </row>
    <row r="609" spans="1:1" x14ac:dyDescent="0.3">
      <c r="A609" s="98"/>
    </row>
    <row r="610" spans="1:1" x14ac:dyDescent="0.3">
      <c r="A610" s="98"/>
    </row>
    <row r="611" spans="1:1" x14ac:dyDescent="0.3">
      <c r="A611" s="98"/>
    </row>
    <row r="612" spans="1:1" x14ac:dyDescent="0.3">
      <c r="A612" s="98"/>
    </row>
    <row r="613" spans="1:1" x14ac:dyDescent="0.3">
      <c r="A613" s="98"/>
    </row>
    <row r="614" spans="1:1" x14ac:dyDescent="0.3">
      <c r="A614" s="98"/>
    </row>
    <row r="615" spans="1:1" x14ac:dyDescent="0.3">
      <c r="A615" s="98"/>
    </row>
    <row r="616" spans="1:1" x14ac:dyDescent="0.3">
      <c r="A616" s="98"/>
    </row>
    <row r="617" spans="1:1" x14ac:dyDescent="0.3">
      <c r="A617" s="98"/>
    </row>
    <row r="618" spans="1:1" x14ac:dyDescent="0.3">
      <c r="A618" s="98"/>
    </row>
    <row r="619" spans="1:1" x14ac:dyDescent="0.3">
      <c r="A619" s="98"/>
    </row>
    <row r="620" spans="1:1" x14ac:dyDescent="0.3">
      <c r="A620" s="98"/>
    </row>
    <row r="621" spans="1:1" x14ac:dyDescent="0.3">
      <c r="A621" s="98"/>
    </row>
    <row r="622" spans="1:1" x14ac:dyDescent="0.3">
      <c r="A622" s="98"/>
    </row>
    <row r="623" spans="1:1" x14ac:dyDescent="0.3">
      <c r="A623" s="98"/>
    </row>
    <row r="624" spans="1:1" x14ac:dyDescent="0.3">
      <c r="A624" s="98"/>
    </row>
    <row r="625" spans="1:1" x14ac:dyDescent="0.3">
      <c r="A625" s="98"/>
    </row>
    <row r="626" spans="1:1" x14ac:dyDescent="0.3">
      <c r="A626" s="98"/>
    </row>
    <row r="627" spans="1:1" x14ac:dyDescent="0.3">
      <c r="A627" s="98"/>
    </row>
    <row r="628" spans="1:1" x14ac:dyDescent="0.3">
      <c r="A628" s="98"/>
    </row>
    <row r="629" spans="1:1" x14ac:dyDescent="0.3">
      <c r="A629" s="98"/>
    </row>
    <row r="630" spans="1:1" x14ac:dyDescent="0.3">
      <c r="A630" s="98"/>
    </row>
    <row r="631" spans="1:1" x14ac:dyDescent="0.3">
      <c r="A631" s="98"/>
    </row>
    <row r="632" spans="1:1" x14ac:dyDescent="0.3">
      <c r="A632" s="98"/>
    </row>
    <row r="633" spans="1:1" x14ac:dyDescent="0.3">
      <c r="A633" s="98"/>
    </row>
    <row r="634" spans="1:1" x14ac:dyDescent="0.3">
      <c r="A634" s="98"/>
    </row>
    <row r="635" spans="1:1" x14ac:dyDescent="0.3">
      <c r="A635" s="98"/>
    </row>
    <row r="636" spans="1:1" x14ac:dyDescent="0.3">
      <c r="A636" s="98"/>
    </row>
    <row r="637" spans="1:1" x14ac:dyDescent="0.3">
      <c r="A637" s="98"/>
    </row>
    <row r="638" spans="1:1" x14ac:dyDescent="0.3">
      <c r="A638" s="98"/>
    </row>
    <row r="639" spans="1:1" x14ac:dyDescent="0.3">
      <c r="A639" s="98"/>
    </row>
    <row r="640" spans="1:1" x14ac:dyDescent="0.3">
      <c r="A640" s="98"/>
    </row>
    <row r="641" spans="1:1" x14ac:dyDescent="0.3">
      <c r="A641" s="98"/>
    </row>
    <row r="642" spans="1:1" x14ac:dyDescent="0.3">
      <c r="A642" s="98"/>
    </row>
    <row r="643" spans="1:1" x14ac:dyDescent="0.3">
      <c r="A643" s="98"/>
    </row>
    <row r="644" spans="1:1" x14ac:dyDescent="0.3">
      <c r="A644" s="98"/>
    </row>
    <row r="645" spans="1:1" x14ac:dyDescent="0.3">
      <c r="A645" s="98"/>
    </row>
    <row r="646" spans="1:1" x14ac:dyDescent="0.3">
      <c r="A646" s="98"/>
    </row>
    <row r="647" spans="1:1" x14ac:dyDescent="0.3">
      <c r="A647" s="98"/>
    </row>
    <row r="648" spans="1:1" x14ac:dyDescent="0.3">
      <c r="A648" s="98"/>
    </row>
    <row r="649" spans="1:1" x14ac:dyDescent="0.3">
      <c r="A649" s="98"/>
    </row>
    <row r="650" spans="1:1" x14ac:dyDescent="0.3">
      <c r="A650" s="98"/>
    </row>
    <row r="651" spans="1:1" x14ac:dyDescent="0.3">
      <c r="A651" s="98"/>
    </row>
    <row r="652" spans="1:1" x14ac:dyDescent="0.3">
      <c r="A652" s="98"/>
    </row>
    <row r="653" spans="1:1" x14ac:dyDescent="0.3">
      <c r="A653" s="98"/>
    </row>
    <row r="654" spans="1:1" x14ac:dyDescent="0.3">
      <c r="A654" s="98"/>
    </row>
    <row r="655" spans="1:1" x14ac:dyDescent="0.3">
      <c r="A655" s="98"/>
    </row>
    <row r="656" spans="1:1" x14ac:dyDescent="0.3">
      <c r="A656" s="98"/>
    </row>
    <row r="657" spans="1:1" x14ac:dyDescent="0.3">
      <c r="A657" s="98"/>
    </row>
    <row r="658" spans="1:1" x14ac:dyDescent="0.3">
      <c r="A658" s="98"/>
    </row>
    <row r="659" spans="1:1" x14ac:dyDescent="0.3">
      <c r="A659" s="98"/>
    </row>
    <row r="660" spans="1:1" x14ac:dyDescent="0.3">
      <c r="A660" s="98"/>
    </row>
    <row r="661" spans="1:1" x14ac:dyDescent="0.3">
      <c r="A661" s="98"/>
    </row>
    <row r="662" spans="1:1" x14ac:dyDescent="0.3">
      <c r="A662" s="98"/>
    </row>
    <row r="663" spans="1:1" x14ac:dyDescent="0.3">
      <c r="A663" s="98"/>
    </row>
    <row r="664" spans="1:1" x14ac:dyDescent="0.3">
      <c r="A664" s="98"/>
    </row>
    <row r="665" spans="1:1" x14ac:dyDescent="0.3">
      <c r="A665" s="98"/>
    </row>
    <row r="666" spans="1:1" x14ac:dyDescent="0.3">
      <c r="A666" s="98"/>
    </row>
    <row r="667" spans="1:1" x14ac:dyDescent="0.3">
      <c r="A667" s="98"/>
    </row>
    <row r="668" spans="1:1" x14ac:dyDescent="0.3">
      <c r="A668" s="98"/>
    </row>
    <row r="669" spans="1:1" x14ac:dyDescent="0.3">
      <c r="A669" s="98"/>
    </row>
    <row r="670" spans="1:1" x14ac:dyDescent="0.3">
      <c r="A670" s="98"/>
    </row>
    <row r="671" spans="1:1" x14ac:dyDescent="0.3">
      <c r="A671" s="98"/>
    </row>
    <row r="672" spans="1:1" x14ac:dyDescent="0.3">
      <c r="A672" s="98"/>
    </row>
    <row r="673" spans="1:1" x14ac:dyDescent="0.3">
      <c r="A673" s="98"/>
    </row>
    <row r="674" spans="1:1" x14ac:dyDescent="0.3">
      <c r="A674" s="98"/>
    </row>
    <row r="675" spans="1:1" x14ac:dyDescent="0.3">
      <c r="A675" s="98"/>
    </row>
    <row r="676" spans="1:1" x14ac:dyDescent="0.3">
      <c r="A676" s="98"/>
    </row>
    <row r="677" spans="1:1" x14ac:dyDescent="0.3">
      <c r="A677" s="98"/>
    </row>
    <row r="678" spans="1:1" x14ac:dyDescent="0.3">
      <c r="A678" s="98"/>
    </row>
    <row r="679" spans="1:1" x14ac:dyDescent="0.3">
      <c r="A679" s="98"/>
    </row>
    <row r="680" spans="1:1" x14ac:dyDescent="0.3">
      <c r="A680" s="98"/>
    </row>
    <row r="681" spans="1:1" x14ac:dyDescent="0.3">
      <c r="A681" s="98"/>
    </row>
    <row r="682" spans="1:1" x14ac:dyDescent="0.3">
      <c r="A682" s="98"/>
    </row>
    <row r="683" spans="1:1" x14ac:dyDescent="0.3">
      <c r="A683" s="98"/>
    </row>
    <row r="684" spans="1:1" x14ac:dyDescent="0.3">
      <c r="A684" s="98"/>
    </row>
    <row r="685" spans="1:1" x14ac:dyDescent="0.3">
      <c r="A685" s="98"/>
    </row>
    <row r="686" spans="1:1" x14ac:dyDescent="0.3">
      <c r="A686" s="98"/>
    </row>
    <row r="687" spans="1:1" x14ac:dyDescent="0.3">
      <c r="A687" s="98"/>
    </row>
    <row r="688" spans="1:1" x14ac:dyDescent="0.3">
      <c r="A688" s="98"/>
    </row>
    <row r="689" spans="1:1" x14ac:dyDescent="0.3">
      <c r="A689" s="98"/>
    </row>
    <row r="690" spans="1:1" x14ac:dyDescent="0.3">
      <c r="A690" s="98"/>
    </row>
    <row r="691" spans="1:1" x14ac:dyDescent="0.3">
      <c r="A691" s="98"/>
    </row>
    <row r="692" spans="1:1" x14ac:dyDescent="0.3">
      <c r="A692" s="98"/>
    </row>
    <row r="693" spans="1:1" x14ac:dyDescent="0.3">
      <c r="A693" s="98"/>
    </row>
    <row r="694" spans="1:1" x14ac:dyDescent="0.3">
      <c r="A694" s="98"/>
    </row>
    <row r="695" spans="1:1" x14ac:dyDescent="0.3">
      <c r="A695" s="98"/>
    </row>
    <row r="696" spans="1:1" x14ac:dyDescent="0.3">
      <c r="A696" s="98"/>
    </row>
    <row r="697" spans="1:1" x14ac:dyDescent="0.3">
      <c r="A697" s="98"/>
    </row>
    <row r="698" spans="1:1" x14ac:dyDescent="0.3">
      <c r="A698" s="98"/>
    </row>
    <row r="699" spans="1:1" x14ac:dyDescent="0.3">
      <c r="A699" s="98"/>
    </row>
    <row r="700" spans="1:1" x14ac:dyDescent="0.3">
      <c r="A700" s="98"/>
    </row>
    <row r="701" spans="1:1" x14ac:dyDescent="0.3">
      <c r="A701" s="98"/>
    </row>
    <row r="702" spans="1:1" x14ac:dyDescent="0.3">
      <c r="A702" s="98"/>
    </row>
    <row r="703" spans="1:1" x14ac:dyDescent="0.3">
      <c r="A703" s="98"/>
    </row>
    <row r="704" spans="1:1" x14ac:dyDescent="0.3">
      <c r="A704" s="98"/>
    </row>
    <row r="705" spans="1:1" x14ac:dyDescent="0.3">
      <c r="A705" s="98"/>
    </row>
    <row r="706" spans="1:1" x14ac:dyDescent="0.3">
      <c r="A706" s="98"/>
    </row>
    <row r="707" spans="1:1" x14ac:dyDescent="0.3">
      <c r="A707" s="98"/>
    </row>
    <row r="708" spans="1:1" x14ac:dyDescent="0.3">
      <c r="A708" s="98"/>
    </row>
    <row r="709" spans="1:1" x14ac:dyDescent="0.3">
      <c r="A709" s="98"/>
    </row>
    <row r="710" spans="1:1" x14ac:dyDescent="0.3">
      <c r="A710" s="98"/>
    </row>
    <row r="711" spans="1:1" x14ac:dyDescent="0.3">
      <c r="A711" s="98"/>
    </row>
    <row r="712" spans="1:1" x14ac:dyDescent="0.3">
      <c r="A712" s="98"/>
    </row>
    <row r="713" spans="1:1" x14ac:dyDescent="0.3">
      <c r="A713" s="98"/>
    </row>
    <row r="714" spans="1:1" x14ac:dyDescent="0.3">
      <c r="A714" s="98"/>
    </row>
    <row r="715" spans="1:1" x14ac:dyDescent="0.3">
      <c r="A715" s="98"/>
    </row>
    <row r="716" spans="1:1" x14ac:dyDescent="0.3">
      <c r="A716" s="98"/>
    </row>
    <row r="717" spans="1:1" x14ac:dyDescent="0.3">
      <c r="A717" s="98"/>
    </row>
    <row r="718" spans="1:1" x14ac:dyDescent="0.3">
      <c r="A718" s="98"/>
    </row>
    <row r="719" spans="1:1" x14ac:dyDescent="0.3">
      <c r="A719" s="98"/>
    </row>
    <row r="720" spans="1:1" x14ac:dyDescent="0.3">
      <c r="A720" s="98"/>
    </row>
    <row r="721" spans="1:1" x14ac:dyDescent="0.3">
      <c r="A721" s="98"/>
    </row>
    <row r="722" spans="1:1" x14ac:dyDescent="0.3">
      <c r="A722" s="98"/>
    </row>
    <row r="723" spans="1:1" x14ac:dyDescent="0.3">
      <c r="A723" s="98"/>
    </row>
    <row r="724" spans="1:1" x14ac:dyDescent="0.3">
      <c r="A724" s="98"/>
    </row>
    <row r="725" spans="1:1" x14ac:dyDescent="0.3">
      <c r="A725" s="98"/>
    </row>
    <row r="726" spans="1:1" x14ac:dyDescent="0.3">
      <c r="A726" s="98"/>
    </row>
    <row r="727" spans="1:1" x14ac:dyDescent="0.3">
      <c r="A727" s="98"/>
    </row>
    <row r="728" spans="1:1" x14ac:dyDescent="0.3">
      <c r="A728" s="98"/>
    </row>
    <row r="729" spans="1:1" x14ac:dyDescent="0.3">
      <c r="A729" s="98"/>
    </row>
    <row r="730" spans="1:1" x14ac:dyDescent="0.3">
      <c r="A730" s="98"/>
    </row>
    <row r="731" spans="1:1" x14ac:dyDescent="0.3">
      <c r="A731" s="98"/>
    </row>
    <row r="732" spans="1:1" x14ac:dyDescent="0.3">
      <c r="A732" s="98"/>
    </row>
    <row r="733" spans="1:1" x14ac:dyDescent="0.3">
      <c r="A733" s="98"/>
    </row>
    <row r="734" spans="1:1" x14ac:dyDescent="0.3">
      <c r="A734" s="98"/>
    </row>
    <row r="735" spans="1:1" x14ac:dyDescent="0.3">
      <c r="A735" s="98"/>
    </row>
    <row r="736" spans="1:1" x14ac:dyDescent="0.3">
      <c r="A736" s="98"/>
    </row>
    <row r="737" spans="1:1" x14ac:dyDescent="0.3">
      <c r="A737" s="98"/>
    </row>
    <row r="738" spans="1:1" x14ac:dyDescent="0.3">
      <c r="A738" s="98"/>
    </row>
    <row r="739" spans="1:1" x14ac:dyDescent="0.3">
      <c r="A739" s="98"/>
    </row>
    <row r="740" spans="1:1" x14ac:dyDescent="0.3">
      <c r="A740" s="98"/>
    </row>
    <row r="741" spans="1:1" x14ac:dyDescent="0.3">
      <c r="A741" s="98"/>
    </row>
    <row r="742" spans="1:1" x14ac:dyDescent="0.3">
      <c r="A742" s="98"/>
    </row>
    <row r="743" spans="1:1" x14ac:dyDescent="0.3">
      <c r="A743" s="98"/>
    </row>
    <row r="744" spans="1:1" x14ac:dyDescent="0.3">
      <c r="A744" s="98"/>
    </row>
    <row r="745" spans="1:1" x14ac:dyDescent="0.3">
      <c r="A745" s="98"/>
    </row>
    <row r="746" spans="1:1" x14ac:dyDescent="0.3">
      <c r="A746" s="98"/>
    </row>
    <row r="747" spans="1:1" x14ac:dyDescent="0.3">
      <c r="A747" s="98"/>
    </row>
    <row r="748" spans="1:1" x14ac:dyDescent="0.3">
      <c r="A748" s="98"/>
    </row>
    <row r="749" spans="1:1" x14ac:dyDescent="0.3">
      <c r="A749" s="98"/>
    </row>
    <row r="750" spans="1:1" x14ac:dyDescent="0.3">
      <c r="A750" s="98"/>
    </row>
    <row r="751" spans="1:1" x14ac:dyDescent="0.3">
      <c r="A751" s="98"/>
    </row>
    <row r="752" spans="1:1" x14ac:dyDescent="0.3">
      <c r="A752" s="98"/>
    </row>
    <row r="753" spans="1:1" x14ac:dyDescent="0.3">
      <c r="A753" s="98"/>
    </row>
    <row r="754" spans="1:1" x14ac:dyDescent="0.3">
      <c r="A754" s="98"/>
    </row>
    <row r="755" spans="1:1" x14ac:dyDescent="0.3">
      <c r="A755" s="98"/>
    </row>
    <row r="756" spans="1:1" x14ac:dyDescent="0.3">
      <c r="A756" s="98"/>
    </row>
    <row r="757" spans="1:1" x14ac:dyDescent="0.3">
      <c r="A757" s="98"/>
    </row>
    <row r="758" spans="1:1" x14ac:dyDescent="0.3">
      <c r="A758" s="98"/>
    </row>
    <row r="759" spans="1:1" x14ac:dyDescent="0.3">
      <c r="A759" s="98"/>
    </row>
    <row r="760" spans="1:1" x14ac:dyDescent="0.3">
      <c r="A760" s="98"/>
    </row>
    <row r="761" spans="1:1" x14ac:dyDescent="0.3">
      <c r="A761" s="98"/>
    </row>
    <row r="762" spans="1:1" x14ac:dyDescent="0.3">
      <c r="A762" s="98"/>
    </row>
    <row r="763" spans="1:1" x14ac:dyDescent="0.3">
      <c r="A763" s="98"/>
    </row>
    <row r="764" spans="1:1" x14ac:dyDescent="0.3">
      <c r="A764" s="98"/>
    </row>
    <row r="765" spans="1:1" x14ac:dyDescent="0.3">
      <c r="A765" s="98"/>
    </row>
    <row r="766" spans="1:1" x14ac:dyDescent="0.3">
      <c r="A766" s="98"/>
    </row>
    <row r="767" spans="1:1" x14ac:dyDescent="0.3">
      <c r="A767" s="98"/>
    </row>
    <row r="768" spans="1:1" x14ac:dyDescent="0.3">
      <c r="A768" s="98"/>
    </row>
    <row r="769" spans="1:1" x14ac:dyDescent="0.3">
      <c r="A769" s="98"/>
    </row>
    <row r="770" spans="1:1" x14ac:dyDescent="0.3">
      <c r="A770" s="98"/>
    </row>
    <row r="771" spans="1:1" x14ac:dyDescent="0.3">
      <c r="A771" s="98"/>
    </row>
    <row r="772" spans="1:1" x14ac:dyDescent="0.3">
      <c r="A772" s="98"/>
    </row>
    <row r="773" spans="1:1" x14ac:dyDescent="0.3">
      <c r="A773" s="98"/>
    </row>
    <row r="774" spans="1:1" x14ac:dyDescent="0.3">
      <c r="A774" s="98"/>
    </row>
    <row r="775" spans="1:1" x14ac:dyDescent="0.3">
      <c r="A775" s="98"/>
    </row>
    <row r="776" spans="1:1" x14ac:dyDescent="0.3">
      <c r="A776" s="98"/>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117ED-9A70-48AF-B6D6-CD510B2220E6}">
  <dimension ref="A1:F444"/>
  <sheetViews>
    <sheetView workbookViewId="0"/>
  </sheetViews>
  <sheetFormatPr defaultRowHeight="14.4" x14ac:dyDescent="0.3"/>
  <cols>
    <col min="1" max="1" width="11.6640625" style="101" customWidth="1"/>
    <col min="2" max="2" width="25.44140625" customWidth="1"/>
    <col min="3" max="3" width="112.6640625" customWidth="1"/>
    <col min="4" max="4" width="91.33203125" customWidth="1"/>
    <col min="5" max="5" width="38.5546875" customWidth="1"/>
    <col min="6" max="6" width="41.88671875" customWidth="1"/>
  </cols>
  <sheetData>
    <row r="1" spans="1:6" x14ac:dyDescent="0.3">
      <c r="A1" s="5" t="s">
        <v>3836</v>
      </c>
      <c r="B1" s="4" t="str">
        <f>"Additions ("&amp;COUNTA(B2:B36)&amp;")"</f>
        <v>Additions (34)</v>
      </c>
      <c r="C1" s="5" t="s">
        <v>28</v>
      </c>
      <c r="D1" s="6" t="s">
        <v>29</v>
      </c>
      <c r="E1" s="5" t="s">
        <v>30</v>
      </c>
      <c r="F1" s="5" t="s">
        <v>31</v>
      </c>
    </row>
    <row r="2" spans="1:6" s="38" customFormat="1" x14ac:dyDescent="0.3">
      <c r="A2" s="97">
        <v>42108</v>
      </c>
      <c r="B2" s="43" t="s">
        <v>2365</v>
      </c>
      <c r="C2" s="19" t="s">
        <v>2368</v>
      </c>
      <c r="D2" s="44" t="s">
        <v>2417</v>
      </c>
      <c r="E2" s="29" t="s">
        <v>1560</v>
      </c>
      <c r="F2" s="37" t="s">
        <v>1561</v>
      </c>
    </row>
    <row r="3" spans="1:6" s="38" customFormat="1" x14ac:dyDescent="0.3">
      <c r="A3" s="97">
        <v>42108</v>
      </c>
      <c r="B3" s="43" t="s">
        <v>2366</v>
      </c>
      <c r="C3" s="19" t="s">
        <v>2369</v>
      </c>
      <c r="D3" s="44" t="s">
        <v>2417</v>
      </c>
      <c r="E3" s="29" t="s">
        <v>1560</v>
      </c>
      <c r="F3" s="37" t="s">
        <v>1561</v>
      </c>
    </row>
    <row r="4" spans="1:6" s="38" customFormat="1" x14ac:dyDescent="0.3">
      <c r="A4" s="97">
        <v>42108</v>
      </c>
      <c r="B4" s="43" t="s">
        <v>2367</v>
      </c>
      <c r="C4" s="19" t="s">
        <v>2370</v>
      </c>
      <c r="D4" s="44" t="s">
        <v>2417</v>
      </c>
      <c r="E4" s="29" t="s">
        <v>1560</v>
      </c>
      <c r="F4" s="37" t="s">
        <v>1561</v>
      </c>
    </row>
    <row r="5" spans="1:6" s="38" customFormat="1" x14ac:dyDescent="0.3">
      <c r="A5" s="97">
        <v>42108</v>
      </c>
      <c r="B5" s="43" t="s">
        <v>2362</v>
      </c>
      <c r="C5" s="19" t="s">
        <v>2363</v>
      </c>
      <c r="D5" s="44" t="s">
        <v>2593</v>
      </c>
      <c r="E5" s="37" t="s">
        <v>37</v>
      </c>
      <c r="F5" s="37" t="s">
        <v>38</v>
      </c>
    </row>
    <row r="6" spans="1:6" s="38" customFormat="1" x14ac:dyDescent="0.3">
      <c r="A6" s="97">
        <v>42108</v>
      </c>
      <c r="B6" s="43" t="s">
        <v>2361</v>
      </c>
      <c r="C6" s="19" t="s">
        <v>2364</v>
      </c>
      <c r="D6" s="44" t="s">
        <v>2594</v>
      </c>
      <c r="E6" s="37" t="s">
        <v>37</v>
      </c>
      <c r="F6" s="37" t="s">
        <v>38</v>
      </c>
    </row>
    <row r="7" spans="1:6" s="38" customFormat="1" x14ac:dyDescent="0.3">
      <c r="A7" s="97">
        <v>42108</v>
      </c>
      <c r="B7" s="43" t="s">
        <v>2349</v>
      </c>
      <c r="C7" s="42" t="s">
        <v>2402</v>
      </c>
      <c r="D7" s="44" t="s">
        <v>2418</v>
      </c>
      <c r="E7" s="29" t="s">
        <v>413</v>
      </c>
      <c r="F7" s="29" t="s">
        <v>414</v>
      </c>
    </row>
    <row r="8" spans="1:6" s="38" customFormat="1" x14ac:dyDescent="0.3">
      <c r="A8" s="97">
        <v>42108</v>
      </c>
      <c r="B8" s="43" t="s">
        <v>2350</v>
      </c>
      <c r="C8" s="42" t="s">
        <v>2403</v>
      </c>
      <c r="D8" s="44" t="s">
        <v>2418</v>
      </c>
      <c r="E8" s="29" t="s">
        <v>413</v>
      </c>
      <c r="F8" s="29" t="s">
        <v>414</v>
      </c>
    </row>
    <row r="9" spans="1:6" s="38" customFormat="1" x14ac:dyDescent="0.3">
      <c r="A9" s="97">
        <v>42108</v>
      </c>
      <c r="B9" s="43" t="s">
        <v>2351</v>
      </c>
      <c r="C9" s="42" t="s">
        <v>2404</v>
      </c>
      <c r="D9" s="44" t="s">
        <v>2418</v>
      </c>
      <c r="E9" s="29" t="s">
        <v>413</v>
      </c>
      <c r="F9" s="29" t="s">
        <v>414</v>
      </c>
    </row>
    <row r="10" spans="1:6" s="38" customFormat="1" x14ac:dyDescent="0.3">
      <c r="A10" s="97">
        <v>42108</v>
      </c>
      <c r="B10" s="43" t="s">
        <v>2352</v>
      </c>
      <c r="C10" s="42" t="s">
        <v>2405</v>
      </c>
      <c r="D10" s="44" t="s">
        <v>2418</v>
      </c>
      <c r="E10" s="29" t="s">
        <v>413</v>
      </c>
      <c r="F10" s="29" t="s">
        <v>414</v>
      </c>
    </row>
    <row r="11" spans="1:6" s="38" customFormat="1" x14ac:dyDescent="0.3">
      <c r="A11" s="97">
        <v>42108</v>
      </c>
      <c r="B11" s="43" t="s">
        <v>2345</v>
      </c>
      <c r="C11" s="42" t="s">
        <v>2406</v>
      </c>
      <c r="D11" s="44" t="s">
        <v>2424</v>
      </c>
      <c r="E11" s="29" t="s">
        <v>413</v>
      </c>
      <c r="F11" s="29" t="s">
        <v>414</v>
      </c>
    </row>
    <row r="12" spans="1:6" s="38" customFormat="1" x14ac:dyDescent="0.3">
      <c r="A12" s="97">
        <v>42108</v>
      </c>
      <c r="B12" s="43" t="s">
        <v>2346</v>
      </c>
      <c r="C12" s="42" t="s">
        <v>2407</v>
      </c>
      <c r="D12" s="44" t="s">
        <v>2424</v>
      </c>
      <c r="E12" s="29" t="s">
        <v>413</v>
      </c>
      <c r="F12" s="29" t="s">
        <v>414</v>
      </c>
    </row>
    <row r="13" spans="1:6" s="38" customFormat="1" x14ac:dyDescent="0.3">
      <c r="A13" s="97">
        <v>42108</v>
      </c>
      <c r="B13" s="43" t="s">
        <v>2347</v>
      </c>
      <c r="C13" s="42" t="s">
        <v>2408</v>
      </c>
      <c r="D13" s="44" t="s">
        <v>2424</v>
      </c>
      <c r="E13" s="29" t="s">
        <v>413</v>
      </c>
      <c r="F13" s="29" t="s">
        <v>414</v>
      </c>
    </row>
    <row r="14" spans="1:6" s="38" customFormat="1" x14ac:dyDescent="0.3">
      <c r="A14" s="97">
        <v>42108</v>
      </c>
      <c r="B14" s="43" t="s">
        <v>2348</v>
      </c>
      <c r="C14" s="42" t="s">
        <v>2409</v>
      </c>
      <c r="D14" s="44" t="s">
        <v>2424</v>
      </c>
      <c r="E14" s="29" t="s">
        <v>413</v>
      </c>
      <c r="F14" s="29" t="s">
        <v>414</v>
      </c>
    </row>
    <row r="15" spans="1:6" s="38" customFormat="1" x14ac:dyDescent="0.3">
      <c r="A15" s="97">
        <v>42108</v>
      </c>
      <c r="B15" s="43" t="s">
        <v>2376</v>
      </c>
      <c r="C15" s="38" t="s">
        <v>2377</v>
      </c>
      <c r="D15" s="44" t="s">
        <v>2419</v>
      </c>
      <c r="E15" s="29" t="s">
        <v>413</v>
      </c>
      <c r="F15" s="29" t="s">
        <v>414</v>
      </c>
    </row>
    <row r="16" spans="1:6" s="38" customFormat="1" x14ac:dyDescent="0.3">
      <c r="A16" s="97">
        <v>42108</v>
      </c>
      <c r="B16" s="43" t="s">
        <v>2378</v>
      </c>
      <c r="C16" s="37" t="s">
        <v>2379</v>
      </c>
      <c r="D16" s="44" t="s">
        <v>2420</v>
      </c>
      <c r="E16" s="29" t="s">
        <v>413</v>
      </c>
      <c r="F16" s="29" t="s">
        <v>414</v>
      </c>
    </row>
    <row r="17" spans="1:6" s="38" customFormat="1" x14ac:dyDescent="0.3">
      <c r="A17" s="97">
        <v>42108</v>
      </c>
      <c r="B17" s="43" t="s">
        <v>2380</v>
      </c>
      <c r="C17" s="37" t="s">
        <v>2381</v>
      </c>
      <c r="D17" s="44" t="s">
        <v>2421</v>
      </c>
      <c r="E17" s="29" t="s">
        <v>413</v>
      </c>
      <c r="F17" s="29" t="s">
        <v>414</v>
      </c>
    </row>
    <row r="18" spans="1:6" s="38" customFormat="1" x14ac:dyDescent="0.3">
      <c r="A18" s="97">
        <v>42108</v>
      </c>
      <c r="B18" s="11" t="s">
        <v>2333</v>
      </c>
      <c r="C18" s="37" t="s">
        <v>2529</v>
      </c>
      <c r="D18" s="44" t="s">
        <v>90</v>
      </c>
      <c r="E18" s="37" t="s">
        <v>91</v>
      </c>
      <c r="F18" s="37" t="s">
        <v>2013</v>
      </c>
    </row>
    <row r="19" spans="1:6" s="38" customFormat="1" x14ac:dyDescent="0.3">
      <c r="A19" s="97">
        <v>42108</v>
      </c>
      <c r="B19" s="11" t="s">
        <v>2334</v>
      </c>
      <c r="C19" s="37" t="s">
        <v>2530</v>
      </c>
      <c r="D19" s="44" t="s">
        <v>90</v>
      </c>
      <c r="E19" s="37" t="s">
        <v>91</v>
      </c>
      <c r="F19" s="37" t="s">
        <v>2013</v>
      </c>
    </row>
    <row r="20" spans="1:6" s="38" customFormat="1" x14ac:dyDescent="0.3">
      <c r="A20" s="97">
        <v>42108</v>
      </c>
      <c r="B20" s="11" t="s">
        <v>2335</v>
      </c>
      <c r="C20" s="37" t="s">
        <v>2531</v>
      </c>
      <c r="D20" s="44" t="s">
        <v>95</v>
      </c>
      <c r="E20" s="37" t="s">
        <v>91</v>
      </c>
      <c r="F20" s="37" t="s">
        <v>2013</v>
      </c>
    </row>
    <row r="21" spans="1:6" s="38" customFormat="1" x14ac:dyDescent="0.3">
      <c r="A21" s="97">
        <v>42108</v>
      </c>
      <c r="B21" s="11" t="s">
        <v>2336</v>
      </c>
      <c r="C21" s="37" t="s">
        <v>2353</v>
      </c>
      <c r="D21" s="44" t="s">
        <v>95</v>
      </c>
      <c r="E21" s="37" t="s">
        <v>91</v>
      </c>
      <c r="F21" s="37" t="s">
        <v>2013</v>
      </c>
    </row>
    <row r="22" spans="1:6" s="38" customFormat="1" x14ac:dyDescent="0.3">
      <c r="A22" s="97">
        <v>42108</v>
      </c>
      <c r="B22" s="11" t="s">
        <v>2339</v>
      </c>
      <c r="C22" s="37" t="s">
        <v>2355</v>
      </c>
      <c r="D22" s="44" t="s">
        <v>2422</v>
      </c>
      <c r="E22" s="37" t="s">
        <v>91</v>
      </c>
      <c r="F22" s="37" t="s">
        <v>2013</v>
      </c>
    </row>
    <row r="23" spans="1:6" s="38" customFormat="1" x14ac:dyDescent="0.3">
      <c r="A23" s="97">
        <v>42108</v>
      </c>
      <c r="B23" s="11" t="s">
        <v>2340</v>
      </c>
      <c r="C23" s="37" t="s">
        <v>2356</v>
      </c>
      <c r="D23" s="44" t="s">
        <v>2422</v>
      </c>
      <c r="E23" s="37" t="s">
        <v>91</v>
      </c>
      <c r="F23" s="37" t="s">
        <v>2013</v>
      </c>
    </row>
    <row r="24" spans="1:6" s="38" customFormat="1" x14ac:dyDescent="0.3">
      <c r="A24" s="97">
        <v>42108</v>
      </c>
      <c r="B24" s="11" t="s">
        <v>2341</v>
      </c>
      <c r="C24" s="37" t="s">
        <v>2357</v>
      </c>
      <c r="D24" s="44" t="s">
        <v>2422</v>
      </c>
      <c r="E24" s="37" t="s">
        <v>91</v>
      </c>
      <c r="F24" s="37" t="s">
        <v>2013</v>
      </c>
    </row>
    <row r="25" spans="1:6" s="38" customFormat="1" x14ac:dyDescent="0.3">
      <c r="A25" s="97">
        <v>42108</v>
      </c>
      <c r="B25" s="11" t="s">
        <v>2342</v>
      </c>
      <c r="C25" s="37" t="s">
        <v>2358</v>
      </c>
      <c r="D25" s="44" t="s">
        <v>2423</v>
      </c>
      <c r="E25" s="37" t="s">
        <v>91</v>
      </c>
      <c r="F25" s="37" t="s">
        <v>2013</v>
      </c>
    </row>
    <row r="26" spans="1:6" s="38" customFormat="1" x14ac:dyDescent="0.3">
      <c r="A26" s="97">
        <v>42108</v>
      </c>
      <c r="B26" s="11" t="s">
        <v>2343</v>
      </c>
      <c r="C26" s="37" t="s">
        <v>2359</v>
      </c>
      <c r="D26" s="44" t="s">
        <v>2423</v>
      </c>
      <c r="E26" s="37" t="s">
        <v>91</v>
      </c>
      <c r="F26" s="37" t="s">
        <v>2013</v>
      </c>
    </row>
    <row r="27" spans="1:6" s="38" customFormat="1" x14ac:dyDescent="0.3">
      <c r="A27" s="97">
        <v>42108</v>
      </c>
      <c r="B27" s="11" t="s">
        <v>2344</v>
      </c>
      <c r="C27" s="37" t="s">
        <v>2360</v>
      </c>
      <c r="D27" s="44" t="s">
        <v>2423</v>
      </c>
      <c r="E27" s="37" t="s">
        <v>91</v>
      </c>
      <c r="F27" s="37" t="s">
        <v>2013</v>
      </c>
    </row>
    <row r="28" spans="1:6" s="38" customFormat="1" x14ac:dyDescent="0.3">
      <c r="A28" s="97">
        <v>42108</v>
      </c>
      <c r="B28" s="11" t="s">
        <v>2337</v>
      </c>
      <c r="C28" s="37" t="s">
        <v>2532</v>
      </c>
      <c r="D28" s="44" t="s">
        <v>98</v>
      </c>
      <c r="E28" s="37" t="s">
        <v>91</v>
      </c>
      <c r="F28" s="37" t="s">
        <v>2013</v>
      </c>
    </row>
    <row r="29" spans="1:6" s="38" customFormat="1" x14ac:dyDescent="0.3">
      <c r="A29" s="97">
        <v>42108</v>
      </c>
      <c r="B29" s="11" t="s">
        <v>2338</v>
      </c>
      <c r="C29" s="37" t="s">
        <v>2354</v>
      </c>
      <c r="D29" s="44" t="s">
        <v>98</v>
      </c>
      <c r="E29" s="37" t="s">
        <v>91</v>
      </c>
      <c r="F29" s="37" t="s">
        <v>2013</v>
      </c>
    </row>
    <row r="30" spans="1:6" s="38" customFormat="1" x14ac:dyDescent="0.3">
      <c r="A30" s="103">
        <v>42213</v>
      </c>
      <c r="B30" s="48" t="s">
        <v>2598</v>
      </c>
      <c r="C30" s="48" t="s">
        <v>2602</v>
      </c>
      <c r="D30" s="49" t="s">
        <v>2661</v>
      </c>
      <c r="E30" s="49" t="s">
        <v>2662</v>
      </c>
      <c r="F30" s="49" t="s">
        <v>1260</v>
      </c>
    </row>
    <row r="31" spans="1:6" s="38" customFormat="1" x14ac:dyDescent="0.3">
      <c r="A31" s="103">
        <v>42213</v>
      </c>
      <c r="B31" s="49" t="s">
        <v>2599</v>
      </c>
      <c r="C31" s="49" t="s">
        <v>2603</v>
      </c>
      <c r="D31" s="52" t="s">
        <v>2664</v>
      </c>
      <c r="E31" s="49" t="s">
        <v>2663</v>
      </c>
      <c r="F31" s="49" t="s">
        <v>1034</v>
      </c>
    </row>
    <row r="32" spans="1:6" s="38" customFormat="1" x14ac:dyDescent="0.3">
      <c r="A32" s="103">
        <v>42213</v>
      </c>
      <c r="B32" s="49" t="s">
        <v>2600</v>
      </c>
      <c r="C32" s="49" t="s">
        <v>2604</v>
      </c>
      <c r="D32" s="52" t="s">
        <v>2665</v>
      </c>
      <c r="E32" s="49" t="s">
        <v>2663</v>
      </c>
      <c r="F32" s="49" t="s">
        <v>1034</v>
      </c>
    </row>
    <row r="33" spans="1:6" s="38" customFormat="1" x14ac:dyDescent="0.3">
      <c r="A33" s="103">
        <v>42213</v>
      </c>
      <c r="B33" s="49" t="s">
        <v>2601</v>
      </c>
      <c r="C33" s="49" t="s">
        <v>2605</v>
      </c>
      <c r="D33" s="52" t="s">
        <v>2666</v>
      </c>
      <c r="E33" s="49" t="s">
        <v>2663</v>
      </c>
      <c r="F33" s="49" t="s">
        <v>1034</v>
      </c>
    </row>
    <row r="34" spans="1:6" s="38" customFormat="1" x14ac:dyDescent="0.3">
      <c r="A34" s="111">
        <v>42286</v>
      </c>
      <c r="B34" s="54" t="s">
        <v>2736</v>
      </c>
      <c r="C34" s="54" t="s">
        <v>2147</v>
      </c>
      <c r="D34" s="55" t="s">
        <v>2149</v>
      </c>
      <c r="E34" s="54" t="s">
        <v>2757</v>
      </c>
      <c r="F34" s="54" t="s">
        <v>2152</v>
      </c>
    </row>
    <row r="35" spans="1:6" s="38" customFormat="1" x14ac:dyDescent="0.3">
      <c r="A35" s="111">
        <v>42286</v>
      </c>
      <c r="B35" s="54" t="s">
        <v>2737</v>
      </c>
      <c r="C35" s="54" t="s">
        <v>2148</v>
      </c>
      <c r="D35" s="55" t="s">
        <v>2150</v>
      </c>
      <c r="E35" s="54" t="s">
        <v>2757</v>
      </c>
      <c r="F35" s="54" t="s">
        <v>2152</v>
      </c>
    </row>
    <row r="37" spans="1:6" x14ac:dyDescent="0.3">
      <c r="A37" s="5" t="s">
        <v>3836</v>
      </c>
      <c r="B37" s="6" t="str">
        <f>"Deletions ("&amp;COUNTA(B38:B72)&amp;")"</f>
        <v>Deletions (34)</v>
      </c>
      <c r="C37" s="5" t="s">
        <v>28</v>
      </c>
      <c r="D37" s="8"/>
      <c r="E37" s="7"/>
    </row>
    <row r="38" spans="1:6" s="7" customFormat="1" x14ac:dyDescent="0.3">
      <c r="A38" s="114">
        <v>42075</v>
      </c>
      <c r="B38" s="39" t="s">
        <v>2316</v>
      </c>
      <c r="C38" s="40" t="s">
        <v>2317</v>
      </c>
      <c r="D38" s="46" t="s">
        <v>2318</v>
      </c>
    </row>
    <row r="39" spans="1:6" s="7" customFormat="1" x14ac:dyDescent="0.3">
      <c r="A39" s="114">
        <v>42075</v>
      </c>
      <c r="B39" s="39" t="s">
        <v>2319</v>
      </c>
      <c r="C39" s="40" t="s">
        <v>2320</v>
      </c>
      <c r="D39" s="46" t="s">
        <v>2318</v>
      </c>
    </row>
    <row r="40" spans="1:6" s="7" customFormat="1" x14ac:dyDescent="0.3">
      <c r="A40" s="114">
        <v>42075</v>
      </c>
      <c r="B40" s="39" t="s">
        <v>2321</v>
      </c>
      <c r="C40" s="40" t="s">
        <v>2322</v>
      </c>
      <c r="D40" s="46" t="s">
        <v>2318</v>
      </c>
    </row>
    <row r="41" spans="1:6" s="7" customFormat="1" x14ac:dyDescent="0.3">
      <c r="A41" s="114">
        <v>42075</v>
      </c>
      <c r="B41" s="39" t="s">
        <v>2323</v>
      </c>
      <c r="C41" s="40" t="s">
        <v>2324</v>
      </c>
      <c r="D41" s="46" t="s">
        <v>2318</v>
      </c>
    </row>
    <row r="42" spans="1:6" s="7" customFormat="1" x14ac:dyDescent="0.3">
      <c r="A42" s="114">
        <v>42075</v>
      </c>
      <c r="B42" s="39" t="s">
        <v>2325</v>
      </c>
      <c r="C42" s="40" t="s">
        <v>2326</v>
      </c>
      <c r="D42" s="46" t="s">
        <v>2318</v>
      </c>
    </row>
    <row r="43" spans="1:6" s="7" customFormat="1" x14ac:dyDescent="0.3">
      <c r="A43" s="114">
        <v>42075</v>
      </c>
      <c r="B43" s="39" t="s">
        <v>2327</v>
      </c>
      <c r="C43" s="40" t="s">
        <v>2328</v>
      </c>
      <c r="D43" s="46" t="s">
        <v>2318</v>
      </c>
    </row>
    <row r="44" spans="1:6" s="7" customFormat="1" x14ac:dyDescent="0.3">
      <c r="A44" s="114">
        <v>42075</v>
      </c>
      <c r="B44" s="39" t="s">
        <v>2329</v>
      </c>
      <c r="C44" s="40" t="s">
        <v>2330</v>
      </c>
      <c r="D44" s="46" t="s">
        <v>2318</v>
      </c>
    </row>
    <row r="45" spans="1:6" s="7" customFormat="1" x14ac:dyDescent="0.3">
      <c r="A45" s="114">
        <v>42075</v>
      </c>
      <c r="B45" s="39" t="s">
        <v>2331</v>
      </c>
      <c r="C45" s="40" t="s">
        <v>2332</v>
      </c>
      <c r="D45" s="46" t="s">
        <v>2318</v>
      </c>
    </row>
    <row r="46" spans="1:6" s="7" customFormat="1" x14ac:dyDescent="0.3">
      <c r="A46" s="114">
        <v>42075</v>
      </c>
      <c r="B46" s="39" t="s">
        <v>2584</v>
      </c>
      <c r="C46" s="40" t="s">
        <v>2585</v>
      </c>
      <c r="D46" s="46" t="s">
        <v>2318</v>
      </c>
    </row>
    <row r="47" spans="1:6" s="7" customFormat="1" x14ac:dyDescent="0.3">
      <c r="A47" s="114">
        <v>42075</v>
      </c>
      <c r="B47" s="39" t="s">
        <v>536</v>
      </c>
      <c r="C47" s="40" t="s">
        <v>538</v>
      </c>
      <c r="D47" s="46" t="s">
        <v>2318</v>
      </c>
    </row>
    <row r="48" spans="1:6" s="7" customFormat="1" x14ac:dyDescent="0.3">
      <c r="A48" s="114">
        <v>42075</v>
      </c>
      <c r="B48" s="39" t="s">
        <v>2586</v>
      </c>
      <c r="C48" s="40" t="s">
        <v>2587</v>
      </c>
      <c r="D48" s="46" t="s">
        <v>2318</v>
      </c>
    </row>
    <row r="49" spans="1:4" s="7" customFormat="1" x14ac:dyDescent="0.3">
      <c r="A49" s="114">
        <v>42075</v>
      </c>
      <c r="B49" s="39" t="s">
        <v>539</v>
      </c>
      <c r="C49" s="40" t="s">
        <v>541</v>
      </c>
      <c r="D49" s="46" t="s">
        <v>2318</v>
      </c>
    </row>
    <row r="50" spans="1:4" s="7" customFormat="1" x14ac:dyDescent="0.3">
      <c r="A50" s="114">
        <v>42075</v>
      </c>
      <c r="B50" s="39" t="s">
        <v>2588</v>
      </c>
      <c r="C50" s="40" t="s">
        <v>2589</v>
      </c>
      <c r="D50" s="46" t="s">
        <v>2318</v>
      </c>
    </row>
    <row r="51" spans="1:4" s="7" customFormat="1" x14ac:dyDescent="0.3">
      <c r="A51" s="114">
        <v>42075</v>
      </c>
      <c r="B51" s="39" t="s">
        <v>2590</v>
      </c>
      <c r="C51" s="40" t="s">
        <v>2591</v>
      </c>
      <c r="D51" s="46" t="s">
        <v>2318</v>
      </c>
    </row>
    <row r="52" spans="1:4" s="7" customFormat="1" x14ac:dyDescent="0.3">
      <c r="A52" s="114">
        <v>42075</v>
      </c>
      <c r="B52" s="39" t="s">
        <v>542</v>
      </c>
      <c r="C52" s="40" t="s">
        <v>544</v>
      </c>
      <c r="D52" s="46" t="s">
        <v>2318</v>
      </c>
    </row>
    <row r="53" spans="1:4" s="7" customFormat="1" x14ac:dyDescent="0.3">
      <c r="A53" s="97">
        <v>42108</v>
      </c>
      <c r="B53" s="45" t="s">
        <v>1464</v>
      </c>
      <c r="C53" t="s">
        <v>2371</v>
      </c>
      <c r="D53" s="41"/>
    </row>
    <row r="54" spans="1:4" s="7" customFormat="1" x14ac:dyDescent="0.3">
      <c r="A54" s="97">
        <v>42108</v>
      </c>
      <c r="B54" s="45" t="s">
        <v>1465</v>
      </c>
      <c r="C54" t="s">
        <v>2372</v>
      </c>
      <c r="D54" s="41"/>
    </row>
    <row r="55" spans="1:4" s="7" customFormat="1" x14ac:dyDescent="0.3">
      <c r="A55" s="103">
        <v>42213</v>
      </c>
      <c r="B55" s="48" t="s">
        <v>2606</v>
      </c>
      <c r="C55" s="48" t="s">
        <v>2607</v>
      </c>
      <c r="D55" s="50" t="s">
        <v>2628</v>
      </c>
    </row>
    <row r="56" spans="1:4" s="7" customFormat="1" x14ac:dyDescent="0.3">
      <c r="A56" s="103">
        <v>42213</v>
      </c>
      <c r="B56" s="48" t="s">
        <v>2608</v>
      </c>
      <c r="C56" s="48" t="s">
        <v>2609</v>
      </c>
      <c r="D56" s="50" t="s">
        <v>2628</v>
      </c>
    </row>
    <row r="57" spans="1:4" s="7" customFormat="1" x14ac:dyDescent="0.3">
      <c r="A57" s="103">
        <v>42213</v>
      </c>
      <c r="B57" s="48" t="s">
        <v>2610</v>
      </c>
      <c r="C57" s="48" t="s">
        <v>2611</v>
      </c>
      <c r="D57" s="50" t="s">
        <v>2628</v>
      </c>
    </row>
    <row r="58" spans="1:4" s="7" customFormat="1" x14ac:dyDescent="0.3">
      <c r="A58" s="103">
        <v>42213</v>
      </c>
      <c r="B58" s="48" t="s">
        <v>2612</v>
      </c>
      <c r="C58" s="48" t="s">
        <v>2613</v>
      </c>
      <c r="D58" s="50" t="s">
        <v>2628</v>
      </c>
    </row>
    <row r="59" spans="1:4" s="7" customFormat="1" x14ac:dyDescent="0.3">
      <c r="A59" s="103">
        <v>42213</v>
      </c>
      <c r="B59" s="48" t="s">
        <v>2614</v>
      </c>
      <c r="C59" s="48" t="s">
        <v>2615</v>
      </c>
      <c r="D59" s="50" t="s">
        <v>2628</v>
      </c>
    </row>
    <row r="60" spans="1:4" s="7" customFormat="1" x14ac:dyDescent="0.3">
      <c r="A60" s="103">
        <v>42213</v>
      </c>
      <c r="B60" s="48" t="s">
        <v>2616</v>
      </c>
      <c r="C60" s="48" t="s">
        <v>2617</v>
      </c>
      <c r="D60" s="50" t="s">
        <v>2628</v>
      </c>
    </row>
    <row r="61" spans="1:4" s="7" customFormat="1" x14ac:dyDescent="0.3">
      <c r="A61" s="103">
        <v>42213</v>
      </c>
      <c r="B61" s="48" t="s">
        <v>2618</v>
      </c>
      <c r="C61" s="48" t="s">
        <v>2619</v>
      </c>
      <c r="D61" s="50" t="s">
        <v>2628</v>
      </c>
    </row>
    <row r="62" spans="1:4" s="7" customFormat="1" x14ac:dyDescent="0.3">
      <c r="A62" s="103">
        <v>42213</v>
      </c>
      <c r="B62" s="48" t="s">
        <v>2620</v>
      </c>
      <c r="C62" s="48" t="s">
        <v>2621</v>
      </c>
      <c r="D62" s="50" t="s">
        <v>2628</v>
      </c>
    </row>
    <row r="63" spans="1:4" s="7" customFormat="1" x14ac:dyDescent="0.3">
      <c r="A63" s="103">
        <v>42213</v>
      </c>
      <c r="B63" s="48" t="s">
        <v>1279</v>
      </c>
      <c r="C63" s="48" t="s">
        <v>1280</v>
      </c>
      <c r="D63" s="50" t="s">
        <v>2628</v>
      </c>
    </row>
    <row r="64" spans="1:4" s="7" customFormat="1" x14ac:dyDescent="0.3">
      <c r="A64" s="103">
        <v>42213</v>
      </c>
      <c r="B64" s="48" t="s">
        <v>2622</v>
      </c>
      <c r="C64" s="48" t="s">
        <v>2623</v>
      </c>
      <c r="D64" s="50" t="s">
        <v>2628</v>
      </c>
    </row>
    <row r="65" spans="1:4" s="7" customFormat="1" x14ac:dyDescent="0.3">
      <c r="A65" s="103">
        <v>42213</v>
      </c>
      <c r="B65" s="48" t="s">
        <v>2624</v>
      </c>
      <c r="C65" s="48" t="s">
        <v>2625</v>
      </c>
      <c r="D65" s="50" t="s">
        <v>2628</v>
      </c>
    </row>
    <row r="66" spans="1:4" s="7" customFormat="1" x14ac:dyDescent="0.3">
      <c r="A66" s="103">
        <v>42213</v>
      </c>
      <c r="B66" s="48" t="s">
        <v>2626</v>
      </c>
      <c r="C66" s="48" t="s">
        <v>2627</v>
      </c>
      <c r="D66" s="50" t="s">
        <v>2628</v>
      </c>
    </row>
    <row r="67" spans="1:4" s="7" customFormat="1" x14ac:dyDescent="0.3">
      <c r="A67" s="103">
        <v>42213</v>
      </c>
      <c r="B67" s="48" t="s">
        <v>1312</v>
      </c>
      <c r="C67" s="48" t="s">
        <v>1313</v>
      </c>
      <c r="D67" s="50" t="s">
        <v>2628</v>
      </c>
    </row>
    <row r="68" spans="1:4" s="7" customFormat="1" x14ac:dyDescent="0.3">
      <c r="A68" s="103">
        <v>42213</v>
      </c>
      <c r="B68" s="48" t="s">
        <v>1314</v>
      </c>
      <c r="C68" s="48" t="s">
        <v>1315</v>
      </c>
      <c r="D68" s="50" t="s">
        <v>2628</v>
      </c>
    </row>
    <row r="69" spans="1:4" s="7" customFormat="1" x14ac:dyDescent="0.3">
      <c r="A69" s="103">
        <v>42213</v>
      </c>
      <c r="B69" s="48" t="s">
        <v>1316</v>
      </c>
      <c r="C69" s="48" t="s">
        <v>1317</v>
      </c>
      <c r="D69" s="50" t="s">
        <v>2628</v>
      </c>
    </row>
    <row r="70" spans="1:4" s="7" customFormat="1" x14ac:dyDescent="0.3">
      <c r="A70" s="103">
        <v>42213</v>
      </c>
      <c r="B70" s="48" t="s">
        <v>1318</v>
      </c>
      <c r="C70" s="48" t="s">
        <v>1319</v>
      </c>
      <c r="D70" s="50" t="s">
        <v>2628</v>
      </c>
    </row>
    <row r="71" spans="1:4" s="7" customFormat="1" x14ac:dyDescent="0.3">
      <c r="A71" s="103">
        <v>42213</v>
      </c>
      <c r="B71" s="48" t="s">
        <v>1320</v>
      </c>
      <c r="C71" s="48" t="s">
        <v>1321</v>
      </c>
      <c r="D71" s="50" t="s">
        <v>2628</v>
      </c>
    </row>
    <row r="73" spans="1:4" x14ac:dyDescent="0.3">
      <c r="A73" s="5" t="s">
        <v>3836</v>
      </c>
      <c r="B73" s="6" t="str">
        <f>"Change in code ("&amp;COUNTA(B74:B74)&amp;")"</f>
        <v>Change in code (0)</v>
      </c>
      <c r="C73" s="6" t="s">
        <v>28</v>
      </c>
      <c r="D73" s="6" t="s">
        <v>114</v>
      </c>
    </row>
    <row r="74" spans="1:4" x14ac:dyDescent="0.3">
      <c r="B74" s="7"/>
      <c r="C74" s="7"/>
    </row>
    <row r="75" spans="1:4" x14ac:dyDescent="0.3">
      <c r="A75" s="5" t="s">
        <v>3836</v>
      </c>
      <c r="B75" s="6" t="str">
        <f>"Change in description ("&amp;COUNTA(B76:B141)&amp;")"</f>
        <v>Change in description (65)</v>
      </c>
      <c r="C75" s="6" t="s">
        <v>115</v>
      </c>
      <c r="D75" s="6" t="s">
        <v>116</v>
      </c>
    </row>
    <row r="76" spans="1:4" s="7" customFormat="1" x14ac:dyDescent="0.3">
      <c r="A76" s="97">
        <v>42108</v>
      </c>
      <c r="B76" t="s">
        <v>524</v>
      </c>
      <c r="C76" t="s">
        <v>1591</v>
      </c>
      <c r="D76" t="s">
        <v>2373</v>
      </c>
    </row>
    <row r="77" spans="1:4" s="7" customFormat="1" x14ac:dyDescent="0.3">
      <c r="A77" s="97">
        <v>42108</v>
      </c>
      <c r="B77" t="s">
        <v>527</v>
      </c>
      <c r="C77" t="s">
        <v>1592</v>
      </c>
      <c r="D77" t="s">
        <v>2374</v>
      </c>
    </row>
    <row r="78" spans="1:4" s="7" customFormat="1" x14ac:dyDescent="0.3">
      <c r="A78" s="97">
        <v>42108</v>
      </c>
      <c r="B78" t="s">
        <v>530</v>
      </c>
      <c r="C78" t="s">
        <v>1593</v>
      </c>
      <c r="D78" t="s">
        <v>2375</v>
      </c>
    </row>
    <row r="79" spans="1:4" s="7" customFormat="1" x14ac:dyDescent="0.3">
      <c r="A79" s="97">
        <v>42108</v>
      </c>
      <c r="B79" t="s">
        <v>2293</v>
      </c>
      <c r="C79" t="s">
        <v>2298</v>
      </c>
      <c r="D79" t="s">
        <v>2580</v>
      </c>
    </row>
    <row r="80" spans="1:4" s="7" customFormat="1" x14ac:dyDescent="0.3">
      <c r="A80" s="97">
        <v>42108</v>
      </c>
      <c r="B80" t="s">
        <v>2292</v>
      </c>
      <c r="C80" t="s">
        <v>2297</v>
      </c>
      <c r="D80" t="s">
        <v>2581</v>
      </c>
    </row>
    <row r="81" spans="1:4" s="7" customFormat="1" x14ac:dyDescent="0.3">
      <c r="A81" s="97">
        <v>42108</v>
      </c>
      <c r="B81" t="s">
        <v>2296</v>
      </c>
      <c r="C81" t="s">
        <v>2310</v>
      </c>
      <c r="D81" t="s">
        <v>2582</v>
      </c>
    </row>
    <row r="82" spans="1:4" s="7" customFormat="1" x14ac:dyDescent="0.3">
      <c r="A82" s="97">
        <v>42108</v>
      </c>
      <c r="B82" t="s">
        <v>2295</v>
      </c>
      <c r="C82" t="s">
        <v>2309</v>
      </c>
      <c r="D82" t="s">
        <v>2583</v>
      </c>
    </row>
    <row r="83" spans="1:4" s="7" customFormat="1" x14ac:dyDescent="0.3">
      <c r="A83" s="97">
        <v>42108</v>
      </c>
      <c r="B83" t="s">
        <v>2294</v>
      </c>
      <c r="C83" t="s">
        <v>2308</v>
      </c>
      <c r="D83" t="s">
        <v>2528</v>
      </c>
    </row>
    <row r="84" spans="1:4" s="7" customFormat="1" x14ac:dyDescent="0.3">
      <c r="A84" s="97">
        <v>42108</v>
      </c>
      <c r="B84" s="7" t="s">
        <v>2430</v>
      </c>
      <c r="C84" s="7" t="s">
        <v>2595</v>
      </c>
      <c r="D84" t="s">
        <v>2438</v>
      </c>
    </row>
    <row r="85" spans="1:4" s="7" customFormat="1" x14ac:dyDescent="0.3">
      <c r="A85" s="97">
        <v>42108</v>
      </c>
      <c r="B85" s="7" t="s">
        <v>2431</v>
      </c>
      <c r="C85" s="7" t="s">
        <v>2596</v>
      </c>
      <c r="D85" t="s">
        <v>2439</v>
      </c>
    </row>
    <row r="86" spans="1:4" s="7" customFormat="1" x14ac:dyDescent="0.3">
      <c r="A86" s="97">
        <v>42108</v>
      </c>
      <c r="B86" t="s">
        <v>2432</v>
      </c>
      <c r="C86" t="s">
        <v>2442</v>
      </c>
      <c r="D86" t="s">
        <v>2444</v>
      </c>
    </row>
    <row r="87" spans="1:4" s="7" customFormat="1" x14ac:dyDescent="0.3">
      <c r="A87" s="97">
        <v>42108</v>
      </c>
      <c r="B87" t="s">
        <v>2433</v>
      </c>
      <c r="C87" t="s">
        <v>2443</v>
      </c>
      <c r="D87" t="s">
        <v>2445</v>
      </c>
    </row>
    <row r="88" spans="1:4" s="7" customFormat="1" x14ac:dyDescent="0.3">
      <c r="A88" s="97">
        <v>42108</v>
      </c>
      <c r="B88" t="s">
        <v>2392</v>
      </c>
      <c r="C88" s="7" t="s">
        <v>2400</v>
      </c>
      <c r="D88" t="s">
        <v>2393</v>
      </c>
    </row>
    <row r="89" spans="1:4" s="7" customFormat="1" x14ac:dyDescent="0.3">
      <c r="A89" s="97">
        <v>42108</v>
      </c>
      <c r="B89" t="s">
        <v>410</v>
      </c>
      <c r="C89" s="7" t="s">
        <v>411</v>
      </c>
      <c r="D89" t="s">
        <v>2391</v>
      </c>
    </row>
    <row r="90" spans="1:4" s="7" customFormat="1" x14ac:dyDescent="0.3">
      <c r="A90" s="97">
        <v>42108</v>
      </c>
      <c r="B90" t="s">
        <v>2382</v>
      </c>
      <c r="C90" s="7" t="s">
        <v>2395</v>
      </c>
      <c r="D90" t="s">
        <v>2383</v>
      </c>
    </row>
    <row r="91" spans="1:4" s="7" customFormat="1" x14ac:dyDescent="0.3">
      <c r="A91" s="97">
        <v>42108</v>
      </c>
      <c r="B91" t="s">
        <v>2384</v>
      </c>
      <c r="C91" s="7" t="s">
        <v>2396</v>
      </c>
      <c r="D91" t="s">
        <v>2385</v>
      </c>
    </row>
    <row r="92" spans="1:4" s="7" customFormat="1" x14ac:dyDescent="0.3">
      <c r="A92" s="97">
        <v>42108</v>
      </c>
      <c r="B92" t="s">
        <v>2386</v>
      </c>
      <c r="C92" s="7" t="s">
        <v>2397</v>
      </c>
      <c r="D92" t="s">
        <v>2387</v>
      </c>
    </row>
    <row r="93" spans="1:4" s="7" customFormat="1" x14ac:dyDescent="0.3">
      <c r="A93" s="97">
        <v>42108</v>
      </c>
      <c r="B93" t="s">
        <v>2388</v>
      </c>
      <c r="C93" s="7" t="s">
        <v>2398</v>
      </c>
      <c r="D93" s="10" t="s">
        <v>2410</v>
      </c>
    </row>
    <row r="94" spans="1:4" s="7" customFormat="1" x14ac:dyDescent="0.3">
      <c r="A94" s="97">
        <v>42108</v>
      </c>
      <c r="B94" t="s">
        <v>2389</v>
      </c>
      <c r="C94" s="7" t="s">
        <v>2399</v>
      </c>
      <c r="D94" t="s">
        <v>2390</v>
      </c>
    </row>
    <row r="95" spans="1:4" s="7" customFormat="1" x14ac:dyDescent="0.3">
      <c r="A95" s="97">
        <v>42108</v>
      </c>
      <c r="B95" t="s">
        <v>345</v>
      </c>
      <c r="C95" s="7" t="s">
        <v>2401</v>
      </c>
      <c r="D95" t="s">
        <v>2394</v>
      </c>
    </row>
    <row r="96" spans="1:4" s="7" customFormat="1" x14ac:dyDescent="0.3">
      <c r="A96" s="97">
        <v>42108</v>
      </c>
      <c r="B96" s="29" t="s">
        <v>2473</v>
      </c>
      <c r="C96" s="7" t="s">
        <v>2476</v>
      </c>
      <c r="D96" s="7" t="s">
        <v>2477</v>
      </c>
    </row>
    <row r="97" spans="1:4" s="7" customFormat="1" x14ac:dyDescent="0.3">
      <c r="A97" s="105">
        <v>42265</v>
      </c>
      <c r="B97" s="30" t="s">
        <v>2249</v>
      </c>
      <c r="C97" s="21" t="s">
        <v>2250</v>
      </c>
      <c r="D97" s="21" t="s">
        <v>2716</v>
      </c>
    </row>
    <row r="98" spans="1:4" s="7" customFormat="1" x14ac:dyDescent="0.3">
      <c r="A98" s="105">
        <v>42265</v>
      </c>
      <c r="B98" s="30" t="s">
        <v>2251</v>
      </c>
      <c r="C98" s="21" t="s">
        <v>2252</v>
      </c>
      <c r="D98" s="21" t="s">
        <v>2717</v>
      </c>
    </row>
    <row r="99" spans="1:4" s="7" customFormat="1" x14ac:dyDescent="0.3">
      <c r="A99" s="105">
        <v>42265</v>
      </c>
      <c r="B99" s="30" t="s">
        <v>2698</v>
      </c>
      <c r="C99" s="21" t="s">
        <v>2699</v>
      </c>
      <c r="D99" s="21" t="s">
        <v>2730</v>
      </c>
    </row>
    <row r="100" spans="1:4" s="7" customFormat="1" x14ac:dyDescent="0.3">
      <c r="A100" s="105">
        <v>42265</v>
      </c>
      <c r="B100" s="30" t="s">
        <v>641</v>
      </c>
      <c r="C100" s="21" t="s">
        <v>2692</v>
      </c>
      <c r="D100" s="21" t="s">
        <v>2693</v>
      </c>
    </row>
    <row r="101" spans="1:4" s="7" customFormat="1" x14ac:dyDescent="0.3">
      <c r="A101" s="105">
        <v>42265</v>
      </c>
      <c r="B101" s="30" t="s">
        <v>644</v>
      </c>
      <c r="C101" s="21" t="s">
        <v>2690</v>
      </c>
      <c r="D101" s="21" t="s">
        <v>2691</v>
      </c>
    </row>
    <row r="102" spans="1:4" s="7" customFormat="1" x14ac:dyDescent="0.3">
      <c r="A102" s="105">
        <v>42265</v>
      </c>
      <c r="B102" s="30" t="s">
        <v>647</v>
      </c>
      <c r="C102" s="21" t="s">
        <v>2694</v>
      </c>
      <c r="D102" s="21" t="s">
        <v>2695</v>
      </c>
    </row>
    <row r="103" spans="1:4" s="7" customFormat="1" x14ac:dyDescent="0.3">
      <c r="A103" s="105">
        <v>42265</v>
      </c>
      <c r="B103" s="30" t="s">
        <v>650</v>
      </c>
      <c r="C103" s="21" t="s">
        <v>2696</v>
      </c>
      <c r="D103" s="21" t="s">
        <v>2697</v>
      </c>
    </row>
    <row r="104" spans="1:4" s="7" customFormat="1" x14ac:dyDescent="0.3">
      <c r="A104" s="105">
        <v>42265</v>
      </c>
      <c r="B104" s="30" t="s">
        <v>67</v>
      </c>
      <c r="C104" s="21" t="s">
        <v>68</v>
      </c>
      <c r="D104" s="21" t="s">
        <v>2706</v>
      </c>
    </row>
    <row r="105" spans="1:4" s="7" customFormat="1" x14ac:dyDescent="0.3">
      <c r="A105" s="105">
        <v>42265</v>
      </c>
      <c r="B105" s="30" t="s">
        <v>71</v>
      </c>
      <c r="C105" s="21" t="s">
        <v>72</v>
      </c>
      <c r="D105" s="21" t="s">
        <v>2707</v>
      </c>
    </row>
    <row r="106" spans="1:4" s="7" customFormat="1" x14ac:dyDescent="0.3">
      <c r="A106" s="105">
        <v>42265</v>
      </c>
      <c r="B106" s="30" t="s">
        <v>964</v>
      </c>
      <c r="C106" s="21" t="s">
        <v>2704</v>
      </c>
      <c r="D106" s="21" t="s">
        <v>2705</v>
      </c>
    </row>
    <row r="107" spans="1:4" s="7" customFormat="1" x14ac:dyDescent="0.3">
      <c r="A107" s="105">
        <v>42265</v>
      </c>
      <c r="B107" s="30" t="s">
        <v>73</v>
      </c>
      <c r="C107" s="21" t="s">
        <v>74</v>
      </c>
      <c r="D107" s="21" t="s">
        <v>2702</v>
      </c>
    </row>
    <row r="108" spans="1:4" s="7" customFormat="1" x14ac:dyDescent="0.3">
      <c r="A108" s="105">
        <v>42265</v>
      </c>
      <c r="B108" s="30" t="s">
        <v>76</v>
      </c>
      <c r="C108" s="21" t="s">
        <v>77</v>
      </c>
      <c r="D108" s="21" t="s">
        <v>2703</v>
      </c>
    </row>
    <row r="109" spans="1:4" s="7" customFormat="1" x14ac:dyDescent="0.3">
      <c r="A109" s="105">
        <v>42265</v>
      </c>
      <c r="B109" s="30" t="s">
        <v>1858</v>
      </c>
      <c r="C109" s="21" t="s">
        <v>2700</v>
      </c>
      <c r="D109" s="21" t="s">
        <v>2701</v>
      </c>
    </row>
    <row r="110" spans="1:4" s="7" customFormat="1" x14ac:dyDescent="0.3">
      <c r="A110" s="105">
        <v>42265</v>
      </c>
      <c r="B110" s="30" t="s">
        <v>78</v>
      </c>
      <c r="C110" s="21" t="s">
        <v>79</v>
      </c>
      <c r="D110" s="21" t="s">
        <v>2710</v>
      </c>
    </row>
    <row r="111" spans="1:4" s="7" customFormat="1" x14ac:dyDescent="0.3">
      <c r="A111" s="105">
        <v>42265</v>
      </c>
      <c r="B111" s="30" t="s">
        <v>81</v>
      </c>
      <c r="C111" s="21" t="s">
        <v>82</v>
      </c>
      <c r="D111" s="21" t="s">
        <v>2711</v>
      </c>
    </row>
    <row r="112" spans="1:4" s="7" customFormat="1" x14ac:dyDescent="0.3">
      <c r="A112" s="105">
        <v>42265</v>
      </c>
      <c r="B112" s="30" t="s">
        <v>1859</v>
      </c>
      <c r="C112" s="21" t="s">
        <v>2708</v>
      </c>
      <c r="D112" s="21" t="s">
        <v>2709</v>
      </c>
    </row>
    <row r="113" spans="1:4" s="7" customFormat="1" x14ac:dyDescent="0.3">
      <c r="A113" s="105">
        <v>42265</v>
      </c>
      <c r="B113" s="30" t="s">
        <v>83</v>
      </c>
      <c r="C113" s="21" t="s">
        <v>84</v>
      </c>
      <c r="D113" s="21" t="s">
        <v>2714</v>
      </c>
    </row>
    <row r="114" spans="1:4" s="7" customFormat="1" x14ac:dyDescent="0.3">
      <c r="A114" s="105">
        <v>42265</v>
      </c>
      <c r="B114" s="30" t="s">
        <v>86</v>
      </c>
      <c r="C114" s="21" t="s">
        <v>87</v>
      </c>
      <c r="D114" s="21" t="s">
        <v>2715</v>
      </c>
    </row>
    <row r="115" spans="1:4" s="7" customFormat="1" x14ac:dyDescent="0.3">
      <c r="A115" s="105">
        <v>42265</v>
      </c>
      <c r="B115" s="30" t="s">
        <v>1860</v>
      </c>
      <c r="C115" s="21" t="s">
        <v>2712</v>
      </c>
      <c r="D115" s="21" t="s">
        <v>2713</v>
      </c>
    </row>
    <row r="116" spans="1:4" s="7" customFormat="1" x14ac:dyDescent="0.3">
      <c r="A116" s="105">
        <v>42265</v>
      </c>
      <c r="B116" s="30" t="s">
        <v>2675</v>
      </c>
      <c r="C116" s="21" t="s">
        <v>2676</v>
      </c>
      <c r="D116" s="21" t="s">
        <v>2677</v>
      </c>
    </row>
    <row r="117" spans="1:4" s="7" customFormat="1" x14ac:dyDescent="0.3">
      <c r="A117" s="105">
        <v>42265</v>
      </c>
      <c r="B117" s="30" t="s">
        <v>2672</v>
      </c>
      <c r="C117" s="21" t="s">
        <v>2673</v>
      </c>
      <c r="D117" s="21" t="s">
        <v>2674</v>
      </c>
    </row>
    <row r="118" spans="1:4" s="7" customFormat="1" x14ac:dyDescent="0.3">
      <c r="A118" s="105">
        <v>42265</v>
      </c>
      <c r="B118" s="30" t="s">
        <v>2681</v>
      </c>
      <c r="C118" s="21" t="s">
        <v>2682</v>
      </c>
      <c r="D118" s="21" t="s">
        <v>2683</v>
      </c>
    </row>
    <row r="119" spans="1:4" s="7" customFormat="1" x14ac:dyDescent="0.3">
      <c r="A119" s="105">
        <v>42265</v>
      </c>
      <c r="B119" s="30" t="s">
        <v>2678</v>
      </c>
      <c r="C119" s="21" t="s">
        <v>2679</v>
      </c>
      <c r="D119" s="21" t="s">
        <v>2680</v>
      </c>
    </row>
    <row r="120" spans="1:4" s="7" customFormat="1" x14ac:dyDescent="0.3">
      <c r="A120" s="105">
        <v>42265</v>
      </c>
      <c r="B120" s="30" t="s">
        <v>2684</v>
      </c>
      <c r="C120" s="21" t="s">
        <v>2685</v>
      </c>
      <c r="D120" s="21" t="s">
        <v>2686</v>
      </c>
    </row>
    <row r="121" spans="1:4" s="7" customFormat="1" x14ac:dyDescent="0.3">
      <c r="A121" s="105">
        <v>42265</v>
      </c>
      <c r="B121" s="30" t="s">
        <v>2687</v>
      </c>
      <c r="C121" s="21" t="s">
        <v>2688</v>
      </c>
      <c r="D121" s="21" t="s">
        <v>2689</v>
      </c>
    </row>
    <row r="122" spans="1:4" s="7" customFormat="1" x14ac:dyDescent="0.3">
      <c r="A122" s="111">
        <v>42286</v>
      </c>
      <c r="B122" s="54" t="s">
        <v>2432</v>
      </c>
      <c r="C122" s="56" t="s">
        <v>2444</v>
      </c>
      <c r="D122" s="56" t="s">
        <v>2750</v>
      </c>
    </row>
    <row r="123" spans="1:4" s="7" customFormat="1" x14ac:dyDescent="0.3">
      <c r="A123" s="111">
        <v>42286</v>
      </c>
      <c r="B123" s="54" t="s">
        <v>2433</v>
      </c>
      <c r="C123" s="56" t="s">
        <v>2445</v>
      </c>
      <c r="D123" s="56" t="s">
        <v>2751</v>
      </c>
    </row>
    <row r="124" spans="1:4" s="7" customFormat="1" x14ac:dyDescent="0.3">
      <c r="A124" s="111">
        <v>42286</v>
      </c>
      <c r="B124" s="54" t="s">
        <v>979</v>
      </c>
      <c r="C124" s="56" t="s">
        <v>2747</v>
      </c>
      <c r="D124" s="56" t="s">
        <v>2743</v>
      </c>
    </row>
    <row r="125" spans="1:4" s="7" customFormat="1" x14ac:dyDescent="0.3">
      <c r="A125" s="111">
        <v>42286</v>
      </c>
      <c r="B125" s="54" t="s">
        <v>980</v>
      </c>
      <c r="C125" s="56" t="s">
        <v>2746</v>
      </c>
      <c r="D125" s="56" t="s">
        <v>2742</v>
      </c>
    </row>
    <row r="126" spans="1:4" s="7" customFormat="1" x14ac:dyDescent="0.3">
      <c r="A126" s="111">
        <v>42286</v>
      </c>
      <c r="B126" s="54" t="s">
        <v>981</v>
      </c>
      <c r="C126" s="56" t="s">
        <v>2749</v>
      </c>
      <c r="D126" s="56" t="s">
        <v>2745</v>
      </c>
    </row>
    <row r="127" spans="1:4" s="7" customFormat="1" x14ac:dyDescent="0.3">
      <c r="A127" s="111">
        <v>42286</v>
      </c>
      <c r="B127" s="54" t="s">
        <v>982</v>
      </c>
      <c r="C127" s="56" t="s">
        <v>2748</v>
      </c>
      <c r="D127" s="56" t="s">
        <v>2744</v>
      </c>
    </row>
    <row r="128" spans="1:4" s="7" customFormat="1" x14ac:dyDescent="0.3">
      <c r="A128" s="111">
        <v>42286</v>
      </c>
      <c r="B128" s="54" t="s">
        <v>2143</v>
      </c>
      <c r="C128" s="56" t="s">
        <v>2147</v>
      </c>
      <c r="D128" s="56" t="s">
        <v>2740</v>
      </c>
    </row>
    <row r="129" spans="1:4" s="7" customFormat="1" x14ac:dyDescent="0.3">
      <c r="A129" s="111">
        <v>42286</v>
      </c>
      <c r="B129" s="54" t="s">
        <v>2141</v>
      </c>
      <c r="C129" s="56" t="s">
        <v>2145</v>
      </c>
      <c r="D129" s="56" t="s">
        <v>2738</v>
      </c>
    </row>
    <row r="130" spans="1:4" s="7" customFormat="1" x14ac:dyDescent="0.3">
      <c r="A130" s="111">
        <v>42286</v>
      </c>
      <c r="B130" s="54" t="s">
        <v>2144</v>
      </c>
      <c r="C130" s="56" t="s">
        <v>2148</v>
      </c>
      <c r="D130" s="56" t="s">
        <v>2741</v>
      </c>
    </row>
    <row r="131" spans="1:4" s="7" customFormat="1" x14ac:dyDescent="0.3">
      <c r="A131" s="111">
        <v>42286</v>
      </c>
      <c r="B131" s="54" t="s">
        <v>2142</v>
      </c>
      <c r="C131" s="56" t="s">
        <v>2146</v>
      </c>
      <c r="D131" s="56" t="s">
        <v>2739</v>
      </c>
    </row>
    <row r="132" spans="1:4" s="7" customFormat="1" x14ac:dyDescent="0.3">
      <c r="A132" s="110">
        <v>42320</v>
      </c>
      <c r="B132" s="60" t="s">
        <v>2142</v>
      </c>
      <c r="C132" s="61" t="s">
        <v>2768</v>
      </c>
      <c r="D132" s="61" t="s">
        <v>2769</v>
      </c>
    </row>
    <row r="133" spans="1:4" s="7" customFormat="1" x14ac:dyDescent="0.3">
      <c r="A133" s="110">
        <v>42320</v>
      </c>
      <c r="B133" s="60" t="s">
        <v>2141</v>
      </c>
      <c r="C133" s="61" t="s">
        <v>2770</v>
      </c>
      <c r="D133" s="61" t="s">
        <v>2771</v>
      </c>
    </row>
    <row r="134" spans="1:4" s="7" customFormat="1" x14ac:dyDescent="0.3">
      <c r="A134" s="110">
        <v>42320</v>
      </c>
      <c r="B134" s="60" t="s">
        <v>2143</v>
      </c>
      <c r="C134" s="61" t="s">
        <v>2740</v>
      </c>
      <c r="D134" s="61" t="s">
        <v>2772</v>
      </c>
    </row>
    <row r="135" spans="1:4" s="7" customFormat="1" x14ac:dyDescent="0.3">
      <c r="A135" s="110">
        <v>42320</v>
      </c>
      <c r="B135" s="60" t="s">
        <v>2736</v>
      </c>
      <c r="C135" s="61" t="s">
        <v>2147</v>
      </c>
      <c r="D135" s="61" t="s">
        <v>2773</v>
      </c>
    </row>
    <row r="136" spans="1:4" s="7" customFormat="1" x14ac:dyDescent="0.3">
      <c r="A136" s="107">
        <v>42354</v>
      </c>
      <c r="B136" s="64" t="s">
        <v>1434</v>
      </c>
      <c r="C136" s="63" t="s">
        <v>2790</v>
      </c>
      <c r="D136" s="63" t="s">
        <v>2793</v>
      </c>
    </row>
    <row r="137" spans="1:4" s="7" customFormat="1" x14ac:dyDescent="0.3">
      <c r="A137" s="107">
        <v>42354</v>
      </c>
      <c r="B137" s="62" t="s">
        <v>1437</v>
      </c>
      <c r="C137" s="63" t="s">
        <v>2792</v>
      </c>
      <c r="D137" s="63" t="s">
        <v>2795</v>
      </c>
    </row>
    <row r="138" spans="1:4" s="7" customFormat="1" x14ac:dyDescent="0.3">
      <c r="A138" s="107">
        <v>42354</v>
      </c>
      <c r="B138" s="64" t="s">
        <v>1442</v>
      </c>
      <c r="C138" s="63" t="s">
        <v>2791</v>
      </c>
      <c r="D138" s="63" t="s">
        <v>2794</v>
      </c>
    </row>
    <row r="139" spans="1:4" s="7" customFormat="1" x14ac:dyDescent="0.3">
      <c r="A139" s="107">
        <v>42354</v>
      </c>
      <c r="B139" s="64" t="s">
        <v>772</v>
      </c>
      <c r="C139" s="63" t="s">
        <v>2809</v>
      </c>
      <c r="D139" s="63" t="s">
        <v>2811</v>
      </c>
    </row>
    <row r="140" spans="1:4" s="7" customFormat="1" x14ac:dyDescent="0.3">
      <c r="A140" s="107">
        <v>42354</v>
      </c>
      <c r="B140" s="64" t="s">
        <v>877</v>
      </c>
      <c r="C140" s="63" t="s">
        <v>2810</v>
      </c>
      <c r="D140" s="63" t="s">
        <v>2812</v>
      </c>
    </row>
    <row r="142" spans="1:4" x14ac:dyDescent="0.3">
      <c r="A142" s="5" t="s">
        <v>3836</v>
      </c>
      <c r="B142" s="5" t="str">
        <f>"Change in definition ("&amp;COUNTA(B143:B287)&amp;")"</f>
        <v>Change in definition (144)</v>
      </c>
      <c r="C142" s="5" t="s">
        <v>198</v>
      </c>
      <c r="D142" s="5" t="s">
        <v>199</v>
      </c>
    </row>
    <row r="143" spans="1:4" s="7" customFormat="1" x14ac:dyDescent="0.3">
      <c r="A143" s="114">
        <v>42075</v>
      </c>
      <c r="B143" s="33" t="s">
        <v>650</v>
      </c>
      <c r="C143" s="33" t="s">
        <v>652</v>
      </c>
      <c r="D143" s="33" t="s">
        <v>2313</v>
      </c>
    </row>
    <row r="144" spans="1:4" s="7" customFormat="1" x14ac:dyDescent="0.3">
      <c r="A144" s="97">
        <v>42108</v>
      </c>
      <c r="B144" s="7" t="s">
        <v>2212</v>
      </c>
      <c r="C144" s="7" t="s">
        <v>2413</v>
      </c>
      <c r="D144" s="7" t="s">
        <v>2412</v>
      </c>
    </row>
    <row r="145" spans="1:4" s="7" customFormat="1" x14ac:dyDescent="0.3">
      <c r="A145" s="97">
        <v>42108</v>
      </c>
      <c r="B145" s="7" t="s">
        <v>2214</v>
      </c>
      <c r="C145" s="7" t="s">
        <v>2269</v>
      </c>
      <c r="D145" s="7" t="s">
        <v>2414</v>
      </c>
    </row>
    <row r="146" spans="1:4" s="7" customFormat="1" x14ac:dyDescent="0.3">
      <c r="A146" s="97">
        <v>42108</v>
      </c>
      <c r="B146" s="7" t="s">
        <v>2216</v>
      </c>
      <c r="C146" s="7" t="s">
        <v>2270</v>
      </c>
      <c r="D146" s="7" t="s">
        <v>2415</v>
      </c>
    </row>
    <row r="147" spans="1:4" s="7" customFormat="1" x14ac:dyDescent="0.3">
      <c r="A147" s="97">
        <v>42108</v>
      </c>
      <c r="B147" s="7" t="s">
        <v>2218</v>
      </c>
      <c r="C147" s="7" t="s">
        <v>2271</v>
      </c>
      <c r="D147" s="7" t="s">
        <v>2416</v>
      </c>
    </row>
    <row r="148" spans="1:4" s="7" customFormat="1" x14ac:dyDescent="0.3">
      <c r="A148" s="97">
        <v>42108</v>
      </c>
      <c r="B148" s="7" t="s">
        <v>1661</v>
      </c>
      <c r="C148" s="7" t="s">
        <v>1588</v>
      </c>
      <c r="D148" s="44" t="s">
        <v>2417</v>
      </c>
    </row>
    <row r="149" spans="1:4" s="7" customFormat="1" x14ac:dyDescent="0.3">
      <c r="A149" s="97">
        <v>42108</v>
      </c>
      <c r="B149" s="7" t="s">
        <v>1663</v>
      </c>
      <c r="C149" s="7" t="s">
        <v>1588</v>
      </c>
      <c r="D149" s="44" t="s">
        <v>2417</v>
      </c>
    </row>
    <row r="150" spans="1:4" s="7" customFormat="1" x14ac:dyDescent="0.3">
      <c r="A150" s="97">
        <v>42108</v>
      </c>
      <c r="B150" s="7" t="s">
        <v>1664</v>
      </c>
      <c r="C150" s="7" t="s">
        <v>1588</v>
      </c>
      <c r="D150" s="44" t="s">
        <v>2417</v>
      </c>
    </row>
    <row r="151" spans="1:4" s="7" customFormat="1" x14ac:dyDescent="0.3">
      <c r="A151" s="97">
        <v>42108</v>
      </c>
      <c r="B151" s="7" t="s">
        <v>1665</v>
      </c>
      <c r="C151" s="7" t="s">
        <v>1588</v>
      </c>
      <c r="D151" s="44" t="s">
        <v>2417</v>
      </c>
    </row>
    <row r="152" spans="1:4" s="7" customFormat="1" x14ac:dyDescent="0.3">
      <c r="A152" s="97">
        <v>42108</v>
      </c>
      <c r="B152" s="7" t="s">
        <v>1376</v>
      </c>
      <c r="C152" s="7" t="s">
        <v>1588</v>
      </c>
      <c r="D152" s="44" t="s">
        <v>2417</v>
      </c>
    </row>
    <row r="153" spans="1:4" s="7" customFormat="1" x14ac:dyDescent="0.3">
      <c r="A153" s="97">
        <v>42108</v>
      </c>
      <c r="B153" s="7" t="s">
        <v>1666</v>
      </c>
      <c r="C153" s="7" t="s">
        <v>1588</v>
      </c>
      <c r="D153" s="44" t="s">
        <v>2417</v>
      </c>
    </row>
    <row r="154" spans="1:4" s="7" customFormat="1" x14ac:dyDescent="0.3">
      <c r="A154" s="97">
        <v>42108</v>
      </c>
      <c r="B154" s="7" t="s">
        <v>1586</v>
      </c>
      <c r="C154" s="7" t="s">
        <v>1588</v>
      </c>
      <c r="D154" s="44" t="s">
        <v>2417</v>
      </c>
    </row>
    <row r="155" spans="1:4" s="7" customFormat="1" x14ac:dyDescent="0.3">
      <c r="A155" s="97">
        <v>42108</v>
      </c>
      <c r="B155" s="7" t="s">
        <v>1667</v>
      </c>
      <c r="C155" s="7" t="s">
        <v>1588</v>
      </c>
      <c r="D155" s="44" t="s">
        <v>2417</v>
      </c>
    </row>
    <row r="156" spans="1:4" s="7" customFormat="1" x14ac:dyDescent="0.3">
      <c r="A156" s="97">
        <v>42108</v>
      </c>
      <c r="B156" s="7" t="s">
        <v>1668</v>
      </c>
      <c r="C156" s="7" t="s">
        <v>1588</v>
      </c>
      <c r="D156" s="44" t="s">
        <v>2417</v>
      </c>
    </row>
    <row r="157" spans="1:4" s="7" customFormat="1" x14ac:dyDescent="0.3">
      <c r="A157" s="97">
        <v>42108</v>
      </c>
      <c r="B157" s="7" t="s">
        <v>1669</v>
      </c>
      <c r="C157" s="7" t="s">
        <v>1588</v>
      </c>
      <c r="D157" s="44" t="s">
        <v>2417</v>
      </c>
    </row>
    <row r="158" spans="1:4" s="7" customFormat="1" x14ac:dyDescent="0.3">
      <c r="A158" s="97">
        <v>42108</v>
      </c>
      <c r="B158" s="7" t="s">
        <v>1670</v>
      </c>
      <c r="C158" s="7" t="s">
        <v>1588</v>
      </c>
      <c r="D158" s="44" t="s">
        <v>2417</v>
      </c>
    </row>
    <row r="159" spans="1:4" s="7" customFormat="1" x14ac:dyDescent="0.3">
      <c r="A159" s="97">
        <v>42108</v>
      </c>
      <c r="B159" s="7" t="s">
        <v>1671</v>
      </c>
      <c r="C159" s="7" t="s">
        <v>1588</v>
      </c>
      <c r="D159" s="44" t="s">
        <v>2417</v>
      </c>
    </row>
    <row r="160" spans="1:4" s="7" customFormat="1" x14ac:dyDescent="0.3">
      <c r="A160" s="97">
        <v>42108</v>
      </c>
      <c r="B160" s="7" t="s">
        <v>1672</v>
      </c>
      <c r="C160" s="7" t="s">
        <v>1588</v>
      </c>
      <c r="D160" s="44" t="s">
        <v>2417</v>
      </c>
    </row>
    <row r="161" spans="1:4" s="7" customFormat="1" x14ac:dyDescent="0.3">
      <c r="A161" s="97">
        <v>42108</v>
      </c>
      <c r="B161" s="7" t="s">
        <v>1673</v>
      </c>
      <c r="C161" s="7" t="s">
        <v>1588</v>
      </c>
      <c r="D161" s="44" t="s">
        <v>2417</v>
      </c>
    </row>
    <row r="162" spans="1:4" s="7" customFormat="1" x14ac:dyDescent="0.3">
      <c r="A162" s="97">
        <v>42108</v>
      </c>
      <c r="B162" s="7" t="s">
        <v>1674</v>
      </c>
      <c r="C162" s="7" t="s">
        <v>1588</v>
      </c>
      <c r="D162" s="44" t="s">
        <v>2417</v>
      </c>
    </row>
    <row r="163" spans="1:4" s="7" customFormat="1" x14ac:dyDescent="0.3">
      <c r="A163" s="97">
        <v>42108</v>
      </c>
      <c r="B163" s="7" t="s">
        <v>1589</v>
      </c>
      <c r="C163" s="7" t="s">
        <v>1588</v>
      </c>
      <c r="D163" s="44" t="s">
        <v>2417</v>
      </c>
    </row>
    <row r="164" spans="1:4" s="7" customFormat="1" x14ac:dyDescent="0.3">
      <c r="A164" s="97">
        <v>42108</v>
      </c>
      <c r="B164" s="7" t="s">
        <v>1675</v>
      </c>
      <c r="C164" s="7" t="s">
        <v>1588</v>
      </c>
      <c r="D164" s="44" t="s">
        <v>2417</v>
      </c>
    </row>
    <row r="165" spans="1:4" s="7" customFormat="1" x14ac:dyDescent="0.3">
      <c r="A165" s="97">
        <v>42108</v>
      </c>
      <c r="B165" s="7" t="s">
        <v>1676</v>
      </c>
      <c r="C165" s="7" t="s">
        <v>1588</v>
      </c>
      <c r="D165" s="44" t="s">
        <v>2417</v>
      </c>
    </row>
    <row r="166" spans="1:4" s="7" customFormat="1" x14ac:dyDescent="0.3">
      <c r="A166" s="97">
        <v>42108</v>
      </c>
      <c r="B166" s="7" t="s">
        <v>1677</v>
      </c>
      <c r="C166" s="7" t="s">
        <v>1588</v>
      </c>
      <c r="D166" s="44" t="s">
        <v>2417</v>
      </c>
    </row>
    <row r="167" spans="1:4" s="7" customFormat="1" x14ac:dyDescent="0.3">
      <c r="A167" s="97">
        <v>42108</v>
      </c>
      <c r="B167" s="7" t="s">
        <v>1678</v>
      </c>
      <c r="C167" s="7" t="s">
        <v>1588</v>
      </c>
      <c r="D167" s="44" t="s">
        <v>2417</v>
      </c>
    </row>
    <row r="168" spans="1:4" s="7" customFormat="1" x14ac:dyDescent="0.3">
      <c r="A168" s="97">
        <v>42108</v>
      </c>
      <c r="B168" s="7" t="s">
        <v>1679</v>
      </c>
      <c r="C168" s="7" t="s">
        <v>1588</v>
      </c>
      <c r="D168" s="44" t="s">
        <v>2417</v>
      </c>
    </row>
    <row r="169" spans="1:4" s="7" customFormat="1" x14ac:dyDescent="0.3">
      <c r="A169" s="97">
        <v>42108</v>
      </c>
      <c r="B169" s="7" t="s">
        <v>1680</v>
      </c>
      <c r="C169" s="7" t="s">
        <v>1588</v>
      </c>
      <c r="D169" s="44" t="s">
        <v>2417</v>
      </c>
    </row>
    <row r="170" spans="1:4" s="7" customFormat="1" x14ac:dyDescent="0.3">
      <c r="A170" s="97">
        <v>42108</v>
      </c>
      <c r="B170" s="7" t="s">
        <v>1681</v>
      </c>
      <c r="C170" s="7" t="s">
        <v>1588</v>
      </c>
      <c r="D170" s="44" t="s">
        <v>2417</v>
      </c>
    </row>
    <row r="171" spans="1:4" s="7" customFormat="1" x14ac:dyDescent="0.3">
      <c r="A171" s="97">
        <v>42108</v>
      </c>
      <c r="B171" s="7" t="s">
        <v>1682</v>
      </c>
      <c r="C171" s="7" t="s">
        <v>1588</v>
      </c>
      <c r="D171" s="44" t="s">
        <v>2417</v>
      </c>
    </row>
    <row r="172" spans="1:4" s="7" customFormat="1" x14ac:dyDescent="0.3">
      <c r="A172" s="97">
        <v>42108</v>
      </c>
      <c r="B172" s="7" t="s">
        <v>1683</v>
      </c>
      <c r="C172" s="7" t="s">
        <v>1588</v>
      </c>
      <c r="D172" s="44" t="s">
        <v>2417</v>
      </c>
    </row>
    <row r="173" spans="1:4" s="7" customFormat="1" x14ac:dyDescent="0.3">
      <c r="A173" s="97">
        <v>42108</v>
      </c>
      <c r="B173" s="7" t="s">
        <v>1684</v>
      </c>
      <c r="C173" s="7" t="s">
        <v>1588</v>
      </c>
      <c r="D173" s="44" t="s">
        <v>2417</v>
      </c>
    </row>
    <row r="174" spans="1:4" s="7" customFormat="1" x14ac:dyDescent="0.3">
      <c r="A174" s="97">
        <v>42108</v>
      </c>
      <c r="B174" s="7" t="s">
        <v>1685</v>
      </c>
      <c r="C174" s="7" t="s">
        <v>1588</v>
      </c>
      <c r="D174" s="44" t="s">
        <v>2417</v>
      </c>
    </row>
    <row r="175" spans="1:4" s="7" customFormat="1" x14ac:dyDescent="0.3">
      <c r="A175" s="97">
        <v>42108</v>
      </c>
      <c r="B175" t="s">
        <v>524</v>
      </c>
      <c r="C175" s="7" t="s">
        <v>1687</v>
      </c>
      <c r="D175" s="7" t="s">
        <v>2427</v>
      </c>
    </row>
    <row r="176" spans="1:4" s="7" customFormat="1" x14ac:dyDescent="0.3">
      <c r="A176" s="97">
        <v>42108</v>
      </c>
      <c r="B176" t="s">
        <v>527</v>
      </c>
      <c r="C176" s="7" t="s">
        <v>1689</v>
      </c>
      <c r="D176" s="7" t="s">
        <v>2425</v>
      </c>
    </row>
    <row r="177" spans="1:4" s="7" customFormat="1" x14ac:dyDescent="0.3">
      <c r="A177" s="97">
        <v>42108</v>
      </c>
      <c r="B177" t="s">
        <v>530</v>
      </c>
      <c r="C177" s="7" t="s">
        <v>1691</v>
      </c>
      <c r="D177" s="7" t="s">
        <v>2426</v>
      </c>
    </row>
    <row r="178" spans="1:4" s="7" customFormat="1" x14ac:dyDescent="0.3">
      <c r="A178" s="97">
        <v>42108</v>
      </c>
      <c r="B178" s="7" t="s">
        <v>2428</v>
      </c>
      <c r="C178" s="7" t="s">
        <v>2434</v>
      </c>
      <c r="D178" s="7" t="s">
        <v>2440</v>
      </c>
    </row>
    <row r="179" spans="1:4" s="7" customFormat="1" x14ac:dyDescent="0.3">
      <c r="A179" s="97">
        <v>42108</v>
      </c>
      <c r="B179" s="7" t="s">
        <v>2429</v>
      </c>
      <c r="C179" s="7" t="s">
        <v>2434</v>
      </c>
      <c r="D179" s="7" t="s">
        <v>2440</v>
      </c>
    </row>
    <row r="180" spans="1:4" s="7" customFormat="1" x14ac:dyDescent="0.3">
      <c r="A180" s="97">
        <v>42108</v>
      </c>
      <c r="B180" s="7" t="s">
        <v>2430</v>
      </c>
      <c r="C180" s="7" t="s">
        <v>2435</v>
      </c>
      <c r="D180" s="7" t="s">
        <v>2441</v>
      </c>
    </row>
    <row r="181" spans="1:4" s="7" customFormat="1" x14ac:dyDescent="0.3">
      <c r="A181" s="97">
        <v>42108</v>
      </c>
      <c r="B181" s="7" t="s">
        <v>2431</v>
      </c>
      <c r="C181" s="7" t="s">
        <v>2435</v>
      </c>
      <c r="D181" s="7" t="s">
        <v>2441</v>
      </c>
    </row>
    <row r="182" spans="1:4" s="7" customFormat="1" x14ac:dyDescent="0.3">
      <c r="A182" s="97">
        <v>42108</v>
      </c>
      <c r="B182" s="7" t="s">
        <v>2432</v>
      </c>
      <c r="C182" s="7" t="s">
        <v>2436</v>
      </c>
      <c r="D182" s="7" t="s">
        <v>2437</v>
      </c>
    </row>
    <row r="183" spans="1:4" s="7" customFormat="1" x14ac:dyDescent="0.3">
      <c r="A183" s="97">
        <v>42108</v>
      </c>
      <c r="B183" s="7" t="s">
        <v>2433</v>
      </c>
      <c r="C183" s="7" t="s">
        <v>2436</v>
      </c>
      <c r="D183" s="7" t="s">
        <v>2437</v>
      </c>
    </row>
    <row r="184" spans="1:4" s="7" customFormat="1" x14ac:dyDescent="0.3">
      <c r="A184" s="97">
        <v>42108</v>
      </c>
      <c r="B184" s="29" t="s">
        <v>2284</v>
      </c>
      <c r="C184" s="7" t="s">
        <v>2289</v>
      </c>
      <c r="D184" s="7" t="s">
        <v>2525</v>
      </c>
    </row>
    <row r="185" spans="1:4" s="7" customFormat="1" x14ac:dyDescent="0.3">
      <c r="A185" s="97">
        <v>42108</v>
      </c>
      <c r="B185" s="29" t="s">
        <v>2285</v>
      </c>
      <c r="C185" s="7" t="s">
        <v>2289</v>
      </c>
      <c r="D185" s="7" t="s">
        <v>2525</v>
      </c>
    </row>
    <row r="186" spans="1:4" s="7" customFormat="1" x14ac:dyDescent="0.3">
      <c r="A186" s="97">
        <v>42108</v>
      </c>
      <c r="B186" s="29" t="s">
        <v>2286</v>
      </c>
      <c r="C186" s="7" t="s">
        <v>2289</v>
      </c>
      <c r="D186" s="7" t="s">
        <v>2525</v>
      </c>
    </row>
    <row r="187" spans="1:4" s="7" customFormat="1" x14ac:dyDescent="0.3">
      <c r="A187" s="97">
        <v>42108</v>
      </c>
      <c r="B187" s="29" t="s">
        <v>2478</v>
      </c>
      <c r="C187" s="7" t="s">
        <v>2479</v>
      </c>
      <c r="D187" s="7" t="s">
        <v>2480</v>
      </c>
    </row>
    <row r="188" spans="1:4" s="7" customFormat="1" x14ac:dyDescent="0.3">
      <c r="A188" s="97">
        <v>42108</v>
      </c>
      <c r="B188" s="29" t="s">
        <v>2446</v>
      </c>
      <c r="C188" s="7" t="s">
        <v>2450</v>
      </c>
      <c r="D188" s="7" t="s">
        <v>2449</v>
      </c>
    </row>
    <row r="189" spans="1:4" s="7" customFormat="1" x14ac:dyDescent="0.3">
      <c r="A189" s="97">
        <v>42108</v>
      </c>
      <c r="B189" s="29" t="s">
        <v>2447</v>
      </c>
      <c r="C189" s="7" t="s">
        <v>2450</v>
      </c>
      <c r="D189" s="7" t="s">
        <v>2449</v>
      </c>
    </row>
    <row r="190" spans="1:4" s="7" customFormat="1" x14ac:dyDescent="0.3">
      <c r="A190" s="97">
        <v>42108</v>
      </c>
      <c r="B190" s="29" t="s">
        <v>2448</v>
      </c>
      <c r="C190" s="7" t="s">
        <v>2450</v>
      </c>
      <c r="D190" s="7" t="s">
        <v>2449</v>
      </c>
    </row>
    <row r="191" spans="1:4" s="7" customFormat="1" x14ac:dyDescent="0.3">
      <c r="A191" s="97">
        <v>42108</v>
      </c>
      <c r="B191" t="s">
        <v>2392</v>
      </c>
      <c r="C191" s="7" t="s">
        <v>2451</v>
      </c>
      <c r="D191" s="7" t="s">
        <v>2452</v>
      </c>
    </row>
    <row r="192" spans="1:4" s="7" customFormat="1" x14ac:dyDescent="0.3">
      <c r="A192" s="97">
        <v>42108</v>
      </c>
      <c r="B192" s="29" t="s">
        <v>2481</v>
      </c>
      <c r="C192" s="29" t="s">
        <v>2482</v>
      </c>
      <c r="D192" s="29" t="s">
        <v>2483</v>
      </c>
    </row>
    <row r="193" spans="1:4" s="7" customFormat="1" x14ac:dyDescent="0.3">
      <c r="A193" s="97">
        <v>42108</v>
      </c>
      <c r="B193" s="29" t="s">
        <v>2453</v>
      </c>
      <c r="C193" s="7" t="s">
        <v>2456</v>
      </c>
      <c r="D193" s="7" t="s">
        <v>2457</v>
      </c>
    </row>
    <row r="194" spans="1:4" s="7" customFormat="1" x14ac:dyDescent="0.3">
      <c r="A194" s="97">
        <v>42108</v>
      </c>
      <c r="B194" s="29" t="s">
        <v>2454</v>
      </c>
      <c r="C194" s="7" t="s">
        <v>2456</v>
      </c>
      <c r="D194" s="7" t="s">
        <v>2457</v>
      </c>
    </row>
    <row r="195" spans="1:4" s="7" customFormat="1" x14ac:dyDescent="0.3">
      <c r="A195" s="97">
        <v>42108</v>
      </c>
      <c r="B195" s="29" t="s">
        <v>2455</v>
      </c>
      <c r="C195" s="7" t="s">
        <v>2456</v>
      </c>
      <c r="D195" s="7" t="s">
        <v>2457</v>
      </c>
    </row>
    <row r="196" spans="1:4" s="7" customFormat="1" x14ac:dyDescent="0.3">
      <c r="A196" s="97">
        <v>42108</v>
      </c>
      <c r="B196" s="29" t="s">
        <v>2458</v>
      </c>
      <c r="C196" s="7" t="s">
        <v>2461</v>
      </c>
      <c r="D196" s="7" t="s">
        <v>2462</v>
      </c>
    </row>
    <row r="197" spans="1:4" s="7" customFormat="1" x14ac:dyDescent="0.3">
      <c r="A197" s="97">
        <v>42108</v>
      </c>
      <c r="B197" s="29" t="s">
        <v>2459</v>
      </c>
      <c r="C197" s="7" t="s">
        <v>2461</v>
      </c>
      <c r="D197" s="7" t="s">
        <v>2462</v>
      </c>
    </row>
    <row r="198" spans="1:4" s="7" customFormat="1" x14ac:dyDescent="0.3">
      <c r="A198" s="97">
        <v>42108</v>
      </c>
      <c r="B198" s="29" t="s">
        <v>2460</v>
      </c>
      <c r="C198" s="7" t="s">
        <v>2461</v>
      </c>
      <c r="D198" s="7" t="s">
        <v>2462</v>
      </c>
    </row>
    <row r="199" spans="1:4" s="7" customFormat="1" x14ac:dyDescent="0.3">
      <c r="A199" s="97">
        <v>42108</v>
      </c>
      <c r="B199" s="29" t="s">
        <v>410</v>
      </c>
      <c r="C199" s="7" t="s">
        <v>412</v>
      </c>
      <c r="D199" s="7" t="s">
        <v>2527</v>
      </c>
    </row>
    <row r="200" spans="1:4" s="7" customFormat="1" x14ac:dyDescent="0.3">
      <c r="A200" s="97">
        <v>42108</v>
      </c>
      <c r="B200" s="29" t="s">
        <v>2382</v>
      </c>
      <c r="C200" s="7" t="s">
        <v>2463</v>
      </c>
      <c r="D200" s="7" t="s">
        <v>2464</v>
      </c>
    </row>
    <row r="201" spans="1:4" s="7" customFormat="1" x14ac:dyDescent="0.3">
      <c r="A201" s="97">
        <v>42108</v>
      </c>
      <c r="B201" s="29" t="s">
        <v>2376</v>
      </c>
      <c r="C201" s="7" t="s">
        <v>2465</v>
      </c>
      <c r="D201" s="7" t="s">
        <v>2419</v>
      </c>
    </row>
    <row r="202" spans="1:4" s="7" customFormat="1" x14ac:dyDescent="0.3">
      <c r="A202" s="97">
        <v>42108</v>
      </c>
      <c r="B202" s="29" t="s">
        <v>2384</v>
      </c>
      <c r="C202" s="7" t="s">
        <v>2463</v>
      </c>
      <c r="D202" s="7" t="s">
        <v>2464</v>
      </c>
    </row>
    <row r="203" spans="1:4" s="7" customFormat="1" x14ac:dyDescent="0.3">
      <c r="A203" s="97">
        <v>42108</v>
      </c>
      <c r="B203" s="29" t="s">
        <v>2378</v>
      </c>
      <c r="C203" s="7" t="s">
        <v>2466</v>
      </c>
      <c r="D203" s="7" t="s">
        <v>2420</v>
      </c>
    </row>
    <row r="204" spans="1:4" s="7" customFormat="1" x14ac:dyDescent="0.3">
      <c r="A204" s="97">
        <v>42108</v>
      </c>
      <c r="B204" s="29" t="s">
        <v>2386</v>
      </c>
      <c r="C204" s="7" t="s">
        <v>2463</v>
      </c>
      <c r="D204" s="7" t="s">
        <v>2464</v>
      </c>
    </row>
    <row r="205" spans="1:4" s="7" customFormat="1" x14ac:dyDescent="0.3">
      <c r="A205" s="97">
        <v>42108</v>
      </c>
      <c r="B205" s="29" t="s">
        <v>2380</v>
      </c>
      <c r="C205" s="7" t="s">
        <v>2467</v>
      </c>
      <c r="D205" s="7" t="s">
        <v>2421</v>
      </c>
    </row>
    <row r="206" spans="1:4" s="7" customFormat="1" x14ac:dyDescent="0.3">
      <c r="A206" s="97">
        <v>42108</v>
      </c>
      <c r="B206" s="29" t="s">
        <v>2388</v>
      </c>
      <c r="C206" s="7" t="s">
        <v>2468</v>
      </c>
      <c r="D206" s="7" t="s">
        <v>2469</v>
      </c>
    </row>
    <row r="207" spans="1:4" s="7" customFormat="1" x14ac:dyDescent="0.3">
      <c r="A207" s="97">
        <v>42108</v>
      </c>
      <c r="B207" s="29" t="s">
        <v>2389</v>
      </c>
      <c r="C207" s="7" t="s">
        <v>2468</v>
      </c>
      <c r="D207" s="7" t="s">
        <v>2470</v>
      </c>
    </row>
    <row r="208" spans="1:4" s="7" customFormat="1" x14ac:dyDescent="0.3">
      <c r="A208" s="97">
        <v>42108</v>
      </c>
      <c r="B208" s="29" t="s">
        <v>345</v>
      </c>
      <c r="C208" s="7" t="s">
        <v>2472</v>
      </c>
      <c r="D208" s="7" t="s">
        <v>2471</v>
      </c>
    </row>
    <row r="209" spans="1:4" s="7" customFormat="1" x14ac:dyDescent="0.3">
      <c r="A209" s="97">
        <v>42108</v>
      </c>
      <c r="B209" s="29" t="s">
        <v>2473</v>
      </c>
      <c r="C209" s="7" t="s">
        <v>2474</v>
      </c>
      <c r="D209" s="7" t="s">
        <v>2475</v>
      </c>
    </row>
    <row r="210" spans="1:4" s="7" customFormat="1" x14ac:dyDescent="0.3">
      <c r="A210" s="97">
        <v>42108</v>
      </c>
      <c r="B210" s="29" t="s">
        <v>664</v>
      </c>
      <c r="C210" s="7" t="s">
        <v>666</v>
      </c>
      <c r="D210" s="7" t="s">
        <v>2484</v>
      </c>
    </row>
    <row r="211" spans="1:4" s="7" customFormat="1" x14ac:dyDescent="0.3">
      <c r="A211" s="97">
        <v>42108</v>
      </c>
      <c r="B211" s="29" t="s">
        <v>667</v>
      </c>
      <c r="C211" s="7" t="s">
        <v>666</v>
      </c>
      <c r="D211" s="7" t="s">
        <v>2484</v>
      </c>
    </row>
    <row r="212" spans="1:4" s="7" customFormat="1" x14ac:dyDescent="0.3">
      <c r="A212" s="97">
        <v>42108</v>
      </c>
      <c r="B212" s="29" t="s">
        <v>668</v>
      </c>
      <c r="C212" s="7" t="s">
        <v>666</v>
      </c>
      <c r="D212" s="7" t="s">
        <v>2484</v>
      </c>
    </row>
    <row r="213" spans="1:4" s="7" customFormat="1" x14ac:dyDescent="0.3">
      <c r="A213" s="97">
        <v>42108</v>
      </c>
      <c r="B213" s="29" t="s">
        <v>2485</v>
      </c>
      <c r="C213" s="7" t="s">
        <v>2494</v>
      </c>
      <c r="D213" s="7" t="s">
        <v>2495</v>
      </c>
    </row>
    <row r="214" spans="1:4" s="7" customFormat="1" x14ac:dyDescent="0.3">
      <c r="A214" s="97">
        <v>42108</v>
      </c>
      <c r="B214" s="29" t="s">
        <v>2486</v>
      </c>
      <c r="C214" s="7" t="s">
        <v>2494</v>
      </c>
      <c r="D214" s="7" t="s">
        <v>2496</v>
      </c>
    </row>
    <row r="215" spans="1:4" s="7" customFormat="1" x14ac:dyDescent="0.3">
      <c r="A215" s="97">
        <v>42108</v>
      </c>
      <c r="B215" s="29" t="s">
        <v>2487</v>
      </c>
      <c r="C215" s="7" t="s">
        <v>2494</v>
      </c>
      <c r="D215" s="7" t="s">
        <v>2497</v>
      </c>
    </row>
    <row r="216" spans="1:4" s="7" customFormat="1" x14ac:dyDescent="0.3">
      <c r="A216" s="97">
        <v>42108</v>
      </c>
      <c r="B216" s="29" t="s">
        <v>2488</v>
      </c>
      <c r="C216" s="7" t="s">
        <v>2498</v>
      </c>
      <c r="D216" s="7" t="s">
        <v>2499</v>
      </c>
    </row>
    <row r="217" spans="1:4" s="7" customFormat="1" x14ac:dyDescent="0.3">
      <c r="A217" s="97">
        <v>42108</v>
      </c>
      <c r="B217" s="29" t="s">
        <v>2489</v>
      </c>
      <c r="C217" s="7" t="s">
        <v>2498</v>
      </c>
      <c r="D217" s="7" t="s">
        <v>2500</v>
      </c>
    </row>
    <row r="218" spans="1:4" s="7" customFormat="1" x14ac:dyDescent="0.3">
      <c r="A218" s="97">
        <v>42108</v>
      </c>
      <c r="B218" s="29" t="s">
        <v>2490</v>
      </c>
      <c r="C218" s="7" t="s">
        <v>2498</v>
      </c>
      <c r="D218" s="7" t="s">
        <v>2501</v>
      </c>
    </row>
    <row r="219" spans="1:4" s="7" customFormat="1" x14ac:dyDescent="0.3">
      <c r="A219" s="97">
        <v>42108</v>
      </c>
      <c r="B219" s="29" t="s">
        <v>2491</v>
      </c>
      <c r="C219" s="7" t="s">
        <v>2502</v>
      </c>
      <c r="D219" s="7" t="s">
        <v>2503</v>
      </c>
    </row>
    <row r="220" spans="1:4" s="7" customFormat="1" x14ac:dyDescent="0.3">
      <c r="A220" s="97">
        <v>42108</v>
      </c>
      <c r="B220" s="29" t="s">
        <v>2492</v>
      </c>
      <c r="C220" s="7" t="s">
        <v>2502</v>
      </c>
      <c r="D220" s="7" t="s">
        <v>2504</v>
      </c>
    </row>
    <row r="221" spans="1:4" s="7" customFormat="1" x14ac:dyDescent="0.3">
      <c r="A221" s="97">
        <v>42108</v>
      </c>
      <c r="B221" s="29" t="s">
        <v>2493</v>
      </c>
      <c r="C221" s="7" t="s">
        <v>2502</v>
      </c>
      <c r="D221" s="7" t="s">
        <v>2505</v>
      </c>
    </row>
    <row r="222" spans="1:4" s="7" customFormat="1" x14ac:dyDescent="0.3">
      <c r="A222" s="97">
        <v>42108</v>
      </c>
      <c r="B222" s="29" t="s">
        <v>2506</v>
      </c>
      <c r="C222" s="7" t="s">
        <v>2515</v>
      </c>
      <c r="D222" s="7" t="s">
        <v>2516</v>
      </c>
    </row>
    <row r="223" spans="1:4" s="7" customFormat="1" x14ac:dyDescent="0.3">
      <c r="A223" s="97">
        <v>42108</v>
      </c>
      <c r="B223" s="29" t="s">
        <v>2507</v>
      </c>
      <c r="C223" s="7" t="s">
        <v>2515</v>
      </c>
      <c r="D223" s="7" t="s">
        <v>2517</v>
      </c>
    </row>
    <row r="224" spans="1:4" s="7" customFormat="1" x14ac:dyDescent="0.3">
      <c r="A224" s="97">
        <v>42108</v>
      </c>
      <c r="B224" s="29" t="s">
        <v>2508</v>
      </c>
      <c r="C224" s="7" t="s">
        <v>2515</v>
      </c>
      <c r="D224" s="7" t="s">
        <v>2518</v>
      </c>
    </row>
    <row r="225" spans="1:4" s="7" customFormat="1" x14ac:dyDescent="0.3">
      <c r="A225" s="97">
        <v>42108</v>
      </c>
      <c r="B225" s="29" t="s">
        <v>2509</v>
      </c>
      <c r="C225" s="7" t="s">
        <v>2515</v>
      </c>
      <c r="D225" s="7" t="s">
        <v>2519</v>
      </c>
    </row>
    <row r="226" spans="1:4" s="7" customFormat="1" x14ac:dyDescent="0.3">
      <c r="A226" s="97">
        <v>42108</v>
      </c>
      <c r="B226" s="29" t="s">
        <v>2510</v>
      </c>
      <c r="C226" s="7" t="s">
        <v>2515</v>
      </c>
      <c r="D226" s="7" t="s">
        <v>2520</v>
      </c>
    </row>
    <row r="227" spans="1:4" s="7" customFormat="1" x14ac:dyDescent="0.3">
      <c r="A227" s="97">
        <v>42108</v>
      </c>
      <c r="B227" s="29" t="s">
        <v>2511</v>
      </c>
      <c r="C227" s="7" t="s">
        <v>2515</v>
      </c>
      <c r="D227" s="7" t="s">
        <v>2521</v>
      </c>
    </row>
    <row r="228" spans="1:4" s="7" customFormat="1" x14ac:dyDescent="0.3">
      <c r="A228" s="97">
        <v>42108</v>
      </c>
      <c r="B228" s="29" t="s">
        <v>2512</v>
      </c>
      <c r="C228" s="7" t="s">
        <v>2515</v>
      </c>
      <c r="D228" s="7" t="s">
        <v>2522</v>
      </c>
    </row>
    <row r="229" spans="1:4" s="7" customFormat="1" x14ac:dyDescent="0.3">
      <c r="A229" s="97">
        <v>42108</v>
      </c>
      <c r="B229" s="29" t="s">
        <v>2513</v>
      </c>
      <c r="C229" s="7" t="s">
        <v>2515</v>
      </c>
      <c r="D229" s="7" t="s">
        <v>2523</v>
      </c>
    </row>
    <row r="230" spans="1:4" s="7" customFormat="1" x14ac:dyDescent="0.3">
      <c r="A230" s="97">
        <v>42108</v>
      </c>
      <c r="B230" s="29" t="s">
        <v>2514</v>
      </c>
      <c r="C230" s="7" t="s">
        <v>2515</v>
      </c>
      <c r="D230" s="7" t="s">
        <v>2524</v>
      </c>
    </row>
    <row r="231" spans="1:4" s="7" customFormat="1" x14ac:dyDescent="0.3">
      <c r="A231" s="103">
        <v>42213</v>
      </c>
      <c r="B231" s="49" t="s">
        <v>1519</v>
      </c>
      <c r="C231" s="48" t="s">
        <v>2651</v>
      </c>
      <c r="D231" s="49" t="s">
        <v>2667</v>
      </c>
    </row>
    <row r="232" spans="1:4" s="7" customFormat="1" x14ac:dyDescent="0.3">
      <c r="A232" s="103">
        <v>42213</v>
      </c>
      <c r="B232" s="49" t="s">
        <v>1520</v>
      </c>
      <c r="C232" s="48" t="s">
        <v>2651</v>
      </c>
      <c r="D232" s="49" t="s">
        <v>2667</v>
      </c>
    </row>
    <row r="233" spans="1:4" s="7" customFormat="1" x14ac:dyDescent="0.3">
      <c r="A233" s="103">
        <v>42213</v>
      </c>
      <c r="B233" s="49" t="s">
        <v>2653</v>
      </c>
      <c r="C233" s="48" t="s">
        <v>2655</v>
      </c>
      <c r="D233" s="49" t="s">
        <v>2657</v>
      </c>
    </row>
    <row r="234" spans="1:4" s="7" customFormat="1" x14ac:dyDescent="0.3">
      <c r="A234" s="103">
        <v>42213</v>
      </c>
      <c r="B234" s="49" t="s">
        <v>2654</v>
      </c>
      <c r="C234" s="48" t="s">
        <v>2656</v>
      </c>
      <c r="D234" s="49" t="s">
        <v>2658</v>
      </c>
    </row>
    <row r="235" spans="1:4" s="7" customFormat="1" x14ac:dyDescent="0.3">
      <c r="A235" s="105">
        <v>42265</v>
      </c>
      <c r="B235" s="30" t="s">
        <v>2249</v>
      </c>
      <c r="C235" s="21" t="s">
        <v>2265</v>
      </c>
      <c r="D235" s="30" t="s">
        <v>2720</v>
      </c>
    </row>
    <row r="236" spans="1:4" s="7" customFormat="1" x14ac:dyDescent="0.3">
      <c r="A236" s="105">
        <v>42265</v>
      </c>
      <c r="B236" s="30" t="s">
        <v>2698</v>
      </c>
      <c r="C236" s="21" t="s">
        <v>2722</v>
      </c>
      <c r="D236" s="30" t="s">
        <v>2723</v>
      </c>
    </row>
    <row r="237" spans="1:4" s="7" customFormat="1" x14ac:dyDescent="0.3">
      <c r="A237" s="105">
        <v>42265</v>
      </c>
      <c r="B237" s="30" t="s">
        <v>641</v>
      </c>
      <c r="C237" s="21" t="s">
        <v>643</v>
      </c>
      <c r="D237" s="30" t="s">
        <v>2724</v>
      </c>
    </row>
    <row r="238" spans="1:4" s="7" customFormat="1" x14ac:dyDescent="0.3">
      <c r="A238" s="105">
        <v>42265</v>
      </c>
      <c r="B238" s="30" t="s">
        <v>644</v>
      </c>
      <c r="C238" s="21" t="s">
        <v>646</v>
      </c>
      <c r="D238" s="30" t="s">
        <v>2725</v>
      </c>
    </row>
    <row r="239" spans="1:4" s="7" customFormat="1" x14ac:dyDescent="0.3">
      <c r="A239" s="105">
        <v>42265</v>
      </c>
      <c r="B239" s="30" t="s">
        <v>647</v>
      </c>
      <c r="C239" s="21" t="s">
        <v>649</v>
      </c>
      <c r="D239" s="30" t="s">
        <v>2726</v>
      </c>
    </row>
    <row r="240" spans="1:4" s="7" customFormat="1" x14ac:dyDescent="0.3">
      <c r="A240" s="105">
        <v>42265</v>
      </c>
      <c r="B240" s="30" t="s">
        <v>650</v>
      </c>
      <c r="C240" s="21" t="s">
        <v>2313</v>
      </c>
      <c r="D240" s="30" t="s">
        <v>2727</v>
      </c>
    </row>
    <row r="241" spans="1:6" s="7" customFormat="1" x14ac:dyDescent="0.3">
      <c r="A241" s="105">
        <v>42265</v>
      </c>
      <c r="B241" s="30" t="s">
        <v>2731</v>
      </c>
      <c r="C241" s="21" t="s">
        <v>2733</v>
      </c>
      <c r="D241" s="21" t="s">
        <v>2732</v>
      </c>
    </row>
    <row r="242" spans="1:6" s="7" customFormat="1" x14ac:dyDescent="0.3">
      <c r="A242" s="105">
        <v>42265</v>
      </c>
      <c r="B242" s="30" t="s">
        <v>1790</v>
      </c>
      <c r="C242" s="30" t="s">
        <v>2719</v>
      </c>
      <c r="D242" s="30" t="s">
        <v>2718</v>
      </c>
    </row>
    <row r="243" spans="1:6" s="7" customFormat="1" x14ac:dyDescent="0.3">
      <c r="A243" s="105">
        <v>42265</v>
      </c>
      <c r="B243" s="30" t="s">
        <v>1793</v>
      </c>
      <c r="C243" s="30" t="s">
        <v>2719</v>
      </c>
      <c r="D243" s="30" t="s">
        <v>2718</v>
      </c>
    </row>
    <row r="244" spans="1:6" s="7" customFormat="1" x14ac:dyDescent="0.3">
      <c r="A244" s="105">
        <v>42265</v>
      </c>
      <c r="B244" s="30" t="s">
        <v>1794</v>
      </c>
      <c r="C244" s="30" t="s">
        <v>2719</v>
      </c>
      <c r="D244" s="30" t="s">
        <v>2718</v>
      </c>
    </row>
    <row r="245" spans="1:6" s="7" customFormat="1" x14ac:dyDescent="0.3">
      <c r="A245" s="105">
        <v>42265</v>
      </c>
      <c r="B245" s="30" t="s">
        <v>67</v>
      </c>
      <c r="C245" s="21" t="s">
        <v>69</v>
      </c>
      <c r="D245" s="21" t="s">
        <v>2728</v>
      </c>
    </row>
    <row r="246" spans="1:6" s="7" customFormat="1" x14ac:dyDescent="0.3">
      <c r="A246" s="105">
        <v>42265</v>
      </c>
      <c r="B246" s="30" t="s">
        <v>71</v>
      </c>
      <c r="C246" s="21" t="s">
        <v>69</v>
      </c>
      <c r="D246" s="21" t="s">
        <v>2728</v>
      </c>
    </row>
    <row r="247" spans="1:6" s="7" customFormat="1" x14ac:dyDescent="0.3">
      <c r="A247" s="105">
        <v>42265</v>
      </c>
      <c r="B247" s="30" t="s">
        <v>964</v>
      </c>
      <c r="C247" s="21" t="s">
        <v>69</v>
      </c>
      <c r="D247" s="21" t="s">
        <v>2728</v>
      </c>
    </row>
    <row r="248" spans="1:6" s="7" customFormat="1" x14ac:dyDescent="0.3">
      <c r="A248" s="105">
        <v>42265</v>
      </c>
      <c r="B248" s="30" t="s">
        <v>78</v>
      </c>
      <c r="C248" s="21" t="s">
        <v>80</v>
      </c>
      <c r="D248" s="21" t="s">
        <v>2729</v>
      </c>
    </row>
    <row r="249" spans="1:6" s="7" customFormat="1" x14ac:dyDescent="0.3">
      <c r="A249" s="105">
        <v>42265</v>
      </c>
      <c r="B249" s="30" t="s">
        <v>81</v>
      </c>
      <c r="C249" s="21" t="s">
        <v>80</v>
      </c>
      <c r="D249" s="21" t="s">
        <v>2729</v>
      </c>
    </row>
    <row r="250" spans="1:6" s="7" customFormat="1" x14ac:dyDescent="0.3">
      <c r="A250" s="105">
        <v>42265</v>
      </c>
      <c r="B250" s="30" t="s">
        <v>1859</v>
      </c>
      <c r="C250" s="21" t="s">
        <v>80</v>
      </c>
      <c r="D250" s="21" t="s">
        <v>2729</v>
      </c>
    </row>
    <row r="251" spans="1:6" s="7" customFormat="1" x14ac:dyDescent="0.3">
      <c r="A251" s="111">
        <v>42286</v>
      </c>
      <c r="B251" s="54" t="s">
        <v>2432</v>
      </c>
      <c r="C251" s="56" t="s">
        <v>2437</v>
      </c>
      <c r="D251" s="56" t="s">
        <v>2758</v>
      </c>
    </row>
    <row r="252" spans="1:6" s="7" customFormat="1" x14ac:dyDescent="0.3">
      <c r="A252" s="111">
        <v>42286</v>
      </c>
      <c r="B252" s="54" t="s">
        <v>2433</v>
      </c>
      <c r="C252" s="56" t="s">
        <v>2437</v>
      </c>
      <c r="D252" s="56" t="s">
        <v>2758</v>
      </c>
    </row>
    <row r="253" spans="1:6" s="59" customFormat="1" x14ac:dyDescent="0.3">
      <c r="A253" s="111">
        <v>42286</v>
      </c>
      <c r="B253" s="54" t="s">
        <v>979</v>
      </c>
      <c r="C253" s="56" t="s">
        <v>2753</v>
      </c>
      <c r="D253" s="54" t="s">
        <v>2761</v>
      </c>
      <c r="E253" s="7"/>
      <c r="F253" s="7"/>
    </row>
    <row r="254" spans="1:6" s="7" customFormat="1" x14ac:dyDescent="0.3">
      <c r="A254" s="111">
        <v>42286</v>
      </c>
      <c r="B254" s="54" t="s">
        <v>980</v>
      </c>
      <c r="C254" s="56" t="s">
        <v>2752</v>
      </c>
      <c r="D254" s="54" t="s">
        <v>2762</v>
      </c>
    </row>
    <row r="255" spans="1:6" s="7" customFormat="1" x14ac:dyDescent="0.3">
      <c r="A255" s="111">
        <v>42286</v>
      </c>
      <c r="B255" s="54" t="s">
        <v>981</v>
      </c>
      <c r="C255" s="56" t="s">
        <v>2759</v>
      </c>
      <c r="D255" s="54" t="s">
        <v>2763</v>
      </c>
    </row>
    <row r="256" spans="1:6" s="7" customFormat="1" x14ac:dyDescent="0.3">
      <c r="A256" s="111">
        <v>42286</v>
      </c>
      <c r="B256" s="54" t="s">
        <v>982</v>
      </c>
      <c r="C256" s="56" t="s">
        <v>2759</v>
      </c>
      <c r="D256" s="54" t="s">
        <v>2764</v>
      </c>
    </row>
    <row r="257" spans="1:6" s="7" customFormat="1" x14ac:dyDescent="0.3">
      <c r="A257" s="111">
        <v>42286</v>
      </c>
      <c r="B257" s="54" t="s">
        <v>2143</v>
      </c>
      <c r="C257" s="56" t="s">
        <v>2149</v>
      </c>
      <c r="D257" s="56" t="s">
        <v>2755</v>
      </c>
    </row>
    <row r="258" spans="1:6" s="7" customFormat="1" x14ac:dyDescent="0.3">
      <c r="A258" s="111">
        <v>42286</v>
      </c>
      <c r="B258" s="54" t="s">
        <v>2141</v>
      </c>
      <c r="C258" s="58" t="s">
        <v>2169</v>
      </c>
      <c r="D258" s="54" t="s">
        <v>2765</v>
      </c>
      <c r="E258" s="59"/>
      <c r="F258" s="59"/>
    </row>
    <row r="259" spans="1:6" s="7" customFormat="1" x14ac:dyDescent="0.3">
      <c r="A259" s="111">
        <v>42286</v>
      </c>
      <c r="B259" s="54" t="s">
        <v>2144</v>
      </c>
      <c r="C259" s="56" t="s">
        <v>2150</v>
      </c>
      <c r="D259" s="56" t="s">
        <v>2756</v>
      </c>
    </row>
    <row r="260" spans="1:6" s="7" customFormat="1" x14ac:dyDescent="0.3">
      <c r="A260" s="111">
        <v>42286</v>
      </c>
      <c r="B260" s="54" t="s">
        <v>2142</v>
      </c>
      <c r="C260" s="56" t="s">
        <v>2170</v>
      </c>
      <c r="D260" s="56" t="s">
        <v>2766</v>
      </c>
    </row>
    <row r="261" spans="1:6" s="7" customFormat="1" x14ac:dyDescent="0.3">
      <c r="A261" s="110">
        <v>42320</v>
      </c>
      <c r="B261" s="60" t="s">
        <v>2141</v>
      </c>
      <c r="C261" s="61" t="s">
        <v>2765</v>
      </c>
      <c r="D261" s="61" t="s">
        <v>2774</v>
      </c>
    </row>
    <row r="262" spans="1:6" s="7" customFormat="1" x14ac:dyDescent="0.3">
      <c r="A262" s="110">
        <v>42320</v>
      </c>
      <c r="B262" s="60" t="s">
        <v>2142</v>
      </c>
      <c r="C262" s="61" t="s">
        <v>2766</v>
      </c>
      <c r="D262" s="61" t="s">
        <v>2775</v>
      </c>
    </row>
    <row r="263" spans="1:6" s="7" customFormat="1" x14ac:dyDescent="0.3">
      <c r="A263" s="110">
        <v>42320</v>
      </c>
      <c r="B263" s="60" t="s">
        <v>2675</v>
      </c>
      <c r="C263" s="61" t="s">
        <v>2779</v>
      </c>
      <c r="D263" s="61" t="s">
        <v>2782</v>
      </c>
    </row>
    <row r="264" spans="1:6" s="7" customFormat="1" x14ac:dyDescent="0.3">
      <c r="A264" s="110">
        <v>42320</v>
      </c>
      <c r="B264" s="60" t="s">
        <v>2672</v>
      </c>
      <c r="C264" s="61" t="s">
        <v>2779</v>
      </c>
      <c r="D264" s="61" t="s">
        <v>2782</v>
      </c>
    </row>
    <row r="265" spans="1:6" s="7" customFormat="1" x14ac:dyDescent="0.3">
      <c r="A265" s="110">
        <v>42320</v>
      </c>
      <c r="B265" s="60" t="s">
        <v>2776</v>
      </c>
      <c r="C265" s="61" t="s">
        <v>2779</v>
      </c>
      <c r="D265" s="61" t="s">
        <v>2782</v>
      </c>
    </row>
    <row r="266" spans="1:6" s="7" customFormat="1" x14ac:dyDescent="0.3">
      <c r="A266" s="110">
        <v>42320</v>
      </c>
      <c r="B266" s="60" t="s">
        <v>2681</v>
      </c>
      <c r="C266" s="61" t="s">
        <v>2780</v>
      </c>
      <c r="D266" s="61" t="s">
        <v>2783</v>
      </c>
    </row>
    <row r="267" spans="1:6" s="7" customFormat="1" x14ac:dyDescent="0.3">
      <c r="A267" s="110">
        <v>42320</v>
      </c>
      <c r="B267" s="60" t="s">
        <v>2678</v>
      </c>
      <c r="C267" s="61" t="s">
        <v>2780</v>
      </c>
      <c r="D267" s="61" t="s">
        <v>2783</v>
      </c>
    </row>
    <row r="268" spans="1:6" s="7" customFormat="1" x14ac:dyDescent="0.3">
      <c r="A268" s="110">
        <v>42320</v>
      </c>
      <c r="B268" s="60" t="s">
        <v>2777</v>
      </c>
      <c r="C268" s="61" t="s">
        <v>2780</v>
      </c>
      <c r="D268" s="61" t="s">
        <v>2783</v>
      </c>
    </row>
    <row r="269" spans="1:6" s="7" customFormat="1" x14ac:dyDescent="0.3">
      <c r="A269" s="110">
        <v>42320</v>
      </c>
      <c r="B269" s="60" t="s">
        <v>2684</v>
      </c>
      <c r="C269" s="61" t="s">
        <v>2781</v>
      </c>
      <c r="D269" s="61" t="s">
        <v>2784</v>
      </c>
    </row>
    <row r="270" spans="1:6" s="7" customFormat="1" x14ac:dyDescent="0.3">
      <c r="A270" s="110">
        <v>42320</v>
      </c>
      <c r="B270" s="60" t="s">
        <v>2687</v>
      </c>
      <c r="C270" s="61" t="s">
        <v>2781</v>
      </c>
      <c r="D270" s="61" t="s">
        <v>2784</v>
      </c>
    </row>
    <row r="271" spans="1:6" s="7" customFormat="1" x14ac:dyDescent="0.3">
      <c r="A271" s="110">
        <v>42320</v>
      </c>
      <c r="B271" s="60" t="s">
        <v>2778</v>
      </c>
      <c r="C271" s="61" t="s">
        <v>2781</v>
      </c>
      <c r="D271" s="61" t="s">
        <v>2784</v>
      </c>
    </row>
    <row r="272" spans="1:6" s="7" customFormat="1" x14ac:dyDescent="0.3">
      <c r="A272" s="107">
        <v>42354</v>
      </c>
      <c r="B272" s="64" t="s">
        <v>1434</v>
      </c>
      <c r="C272" s="63" t="s">
        <v>2796</v>
      </c>
      <c r="D272" s="63" t="s">
        <v>2806</v>
      </c>
      <c r="E272" s="38"/>
      <c r="F272" s="38"/>
    </row>
    <row r="273" spans="1:6" s="7" customFormat="1" x14ac:dyDescent="0.3">
      <c r="A273" s="107">
        <v>42354</v>
      </c>
      <c r="B273" s="62" t="s">
        <v>1437</v>
      </c>
      <c r="C273" s="63" t="s">
        <v>2800</v>
      </c>
      <c r="D273" s="63" t="s">
        <v>2807</v>
      </c>
      <c r="E273" s="38"/>
      <c r="F273" s="38"/>
    </row>
    <row r="274" spans="1:6" s="7" customFormat="1" x14ac:dyDescent="0.3">
      <c r="A274" s="107">
        <v>42354</v>
      </c>
      <c r="B274" s="64" t="s">
        <v>1439</v>
      </c>
      <c r="C274" s="63" t="s">
        <v>2797</v>
      </c>
      <c r="D274" s="63" t="s">
        <v>2802</v>
      </c>
      <c r="E274" s="38"/>
      <c r="F274" s="38"/>
    </row>
    <row r="275" spans="1:6" s="7" customFormat="1" x14ac:dyDescent="0.3">
      <c r="A275" s="107">
        <v>42354</v>
      </c>
      <c r="B275" s="64" t="s">
        <v>1440</v>
      </c>
      <c r="C275" s="63" t="s">
        <v>2798</v>
      </c>
      <c r="D275" s="63" t="s">
        <v>2803</v>
      </c>
      <c r="E275" s="38"/>
      <c r="F275" s="38"/>
    </row>
    <row r="276" spans="1:6" s="7" customFormat="1" x14ac:dyDescent="0.3">
      <c r="A276" s="107">
        <v>42354</v>
      </c>
      <c r="B276" s="62" t="s">
        <v>1441</v>
      </c>
      <c r="C276" s="63" t="s">
        <v>2801</v>
      </c>
      <c r="D276" s="63" t="s">
        <v>2805</v>
      </c>
      <c r="E276" s="38"/>
      <c r="F276" s="38"/>
    </row>
    <row r="277" spans="1:6" s="7" customFormat="1" x14ac:dyDescent="0.3">
      <c r="A277" s="107">
        <v>42354</v>
      </c>
      <c r="B277" s="64" t="s">
        <v>1442</v>
      </c>
      <c r="C277" s="63" t="s">
        <v>2799</v>
      </c>
      <c r="D277" s="63" t="s">
        <v>2804</v>
      </c>
      <c r="E277" s="38"/>
      <c r="F277" s="38"/>
    </row>
    <row r="278" spans="1:6" s="7" customFormat="1" x14ac:dyDescent="0.3">
      <c r="A278" s="107">
        <v>42354</v>
      </c>
      <c r="B278" s="62" t="s">
        <v>2675</v>
      </c>
      <c r="C278" s="63" t="s">
        <v>2782</v>
      </c>
      <c r="D278" s="63" t="s">
        <v>2787</v>
      </c>
    </row>
    <row r="279" spans="1:6" s="7" customFormat="1" x14ac:dyDescent="0.3">
      <c r="A279" s="107">
        <v>42354</v>
      </c>
      <c r="B279" s="62" t="s">
        <v>2672</v>
      </c>
      <c r="C279" s="63" t="s">
        <v>2782</v>
      </c>
      <c r="D279" s="63" t="s">
        <v>2787</v>
      </c>
    </row>
    <row r="280" spans="1:6" s="7" customFormat="1" x14ac:dyDescent="0.3">
      <c r="A280" s="107">
        <v>42354</v>
      </c>
      <c r="B280" s="62" t="s">
        <v>2776</v>
      </c>
      <c r="C280" s="63" t="s">
        <v>2782</v>
      </c>
      <c r="D280" s="63" t="s">
        <v>2787</v>
      </c>
    </row>
    <row r="281" spans="1:6" s="38" customFormat="1" x14ac:dyDescent="0.3">
      <c r="A281" s="107">
        <v>42354</v>
      </c>
      <c r="B281" s="62" t="s">
        <v>2681</v>
      </c>
      <c r="C281" s="63" t="s">
        <v>2783</v>
      </c>
      <c r="D281" s="63" t="s">
        <v>2788</v>
      </c>
      <c r="E281" s="7"/>
      <c r="F281" s="7"/>
    </row>
    <row r="282" spans="1:6" s="38" customFormat="1" x14ac:dyDescent="0.3">
      <c r="A282" s="107">
        <v>42354</v>
      </c>
      <c r="B282" s="62" t="s">
        <v>2678</v>
      </c>
      <c r="C282" s="63" t="s">
        <v>2783</v>
      </c>
      <c r="D282" s="63" t="s">
        <v>2788</v>
      </c>
      <c r="E282" s="7"/>
      <c r="F282" s="7"/>
    </row>
    <row r="283" spans="1:6" s="38" customFormat="1" x14ac:dyDescent="0.3">
      <c r="A283" s="107">
        <v>42354</v>
      </c>
      <c r="B283" s="62" t="s">
        <v>2777</v>
      </c>
      <c r="C283" s="63" t="s">
        <v>2783</v>
      </c>
      <c r="D283" s="63" t="s">
        <v>2788</v>
      </c>
      <c r="E283" s="7"/>
      <c r="F283" s="7"/>
    </row>
    <row r="284" spans="1:6" s="38" customFormat="1" x14ac:dyDescent="0.3">
      <c r="A284" s="107">
        <v>42354</v>
      </c>
      <c r="B284" s="62" t="s">
        <v>2684</v>
      </c>
      <c r="C284" s="63" t="s">
        <v>2784</v>
      </c>
      <c r="D284" s="63" t="s">
        <v>2789</v>
      </c>
      <c r="E284" s="7"/>
      <c r="F284" s="7"/>
    </row>
    <row r="285" spans="1:6" s="38" customFormat="1" x14ac:dyDescent="0.3">
      <c r="A285" s="107">
        <v>42354</v>
      </c>
      <c r="B285" s="62" t="s">
        <v>2687</v>
      </c>
      <c r="C285" s="63" t="s">
        <v>2784</v>
      </c>
      <c r="D285" s="63" t="s">
        <v>2789</v>
      </c>
      <c r="E285" s="7"/>
      <c r="F285" s="7"/>
    </row>
    <row r="286" spans="1:6" s="38" customFormat="1" x14ac:dyDescent="0.3">
      <c r="A286" s="107">
        <v>42354</v>
      </c>
      <c r="B286" s="62" t="s">
        <v>2778</v>
      </c>
      <c r="C286" s="63" t="s">
        <v>2784</v>
      </c>
      <c r="D286" s="63" t="s">
        <v>2789</v>
      </c>
      <c r="E286" s="7"/>
      <c r="F286" s="7"/>
    </row>
    <row r="288" spans="1:6" x14ac:dyDescent="0.3">
      <c r="A288" s="5" t="s">
        <v>3836</v>
      </c>
      <c r="B288" s="5" t="str">
        <f>"Change in source ("&amp;COUNTA(B289:B443)&amp;")"</f>
        <v>Change in source (154)</v>
      </c>
      <c r="C288" s="5" t="s">
        <v>307</v>
      </c>
      <c r="D288" s="5" t="s">
        <v>308</v>
      </c>
    </row>
    <row r="289" spans="1:4" s="38" customFormat="1" x14ac:dyDescent="0.3">
      <c r="A289" s="97">
        <v>42108</v>
      </c>
      <c r="B289" s="47" t="s">
        <v>1460</v>
      </c>
      <c r="C289" s="37" t="s">
        <v>1462</v>
      </c>
      <c r="D289" s="37" t="s">
        <v>1461</v>
      </c>
    </row>
    <row r="290" spans="1:4" s="38" customFormat="1" x14ac:dyDescent="0.3">
      <c r="A290" s="97">
        <v>42108</v>
      </c>
      <c r="B290" s="47" t="s">
        <v>1463</v>
      </c>
      <c r="C290" s="37" t="s">
        <v>1462</v>
      </c>
      <c r="D290" s="37" t="s">
        <v>1461</v>
      </c>
    </row>
    <row r="291" spans="1:4" s="38" customFormat="1" x14ac:dyDescent="0.3">
      <c r="A291" s="97">
        <v>42108</v>
      </c>
      <c r="B291" s="47" t="s">
        <v>1464</v>
      </c>
      <c r="C291" s="37" t="s">
        <v>1462</v>
      </c>
      <c r="D291" s="37" t="s">
        <v>1461</v>
      </c>
    </row>
    <row r="292" spans="1:4" s="38" customFormat="1" x14ac:dyDescent="0.3">
      <c r="A292" s="97">
        <v>42108</v>
      </c>
      <c r="B292" s="47" t="s">
        <v>1465</v>
      </c>
      <c r="C292" s="37" t="s">
        <v>1462</v>
      </c>
      <c r="D292" s="37" t="s">
        <v>1461</v>
      </c>
    </row>
    <row r="293" spans="1:4" s="38" customFormat="1" x14ac:dyDescent="0.3">
      <c r="A293" s="97">
        <v>42108</v>
      </c>
      <c r="B293" s="47" t="s">
        <v>1466</v>
      </c>
      <c r="C293" s="37" t="s">
        <v>1462</v>
      </c>
      <c r="D293" s="37" t="s">
        <v>1461</v>
      </c>
    </row>
    <row r="294" spans="1:4" s="38" customFormat="1" x14ac:dyDescent="0.3">
      <c r="A294" s="97">
        <v>42108</v>
      </c>
      <c r="B294" s="47" t="s">
        <v>1467</v>
      </c>
      <c r="C294" s="37" t="s">
        <v>1462</v>
      </c>
      <c r="D294" s="37" t="s">
        <v>1461</v>
      </c>
    </row>
    <row r="295" spans="1:4" s="38" customFormat="1" x14ac:dyDescent="0.3">
      <c r="A295" s="97">
        <v>42108</v>
      </c>
      <c r="B295" s="47" t="s">
        <v>2560</v>
      </c>
      <c r="C295" s="37" t="s">
        <v>2576</v>
      </c>
      <c r="D295" s="37" t="s">
        <v>2577</v>
      </c>
    </row>
    <row r="296" spans="1:4" s="38" customFormat="1" x14ac:dyDescent="0.3">
      <c r="A296" s="97">
        <v>42108</v>
      </c>
      <c r="B296" s="47" t="s">
        <v>2561</v>
      </c>
      <c r="C296" s="37" t="s">
        <v>2576</v>
      </c>
      <c r="D296" s="37" t="s">
        <v>2577</v>
      </c>
    </row>
    <row r="297" spans="1:4" s="38" customFormat="1" x14ac:dyDescent="0.3">
      <c r="A297" s="97">
        <v>42108</v>
      </c>
      <c r="B297" s="47" t="s">
        <v>2428</v>
      </c>
      <c r="C297" s="37" t="s">
        <v>2576</v>
      </c>
      <c r="D297" s="37" t="s">
        <v>2577</v>
      </c>
    </row>
    <row r="298" spans="1:4" s="38" customFormat="1" x14ac:dyDescent="0.3">
      <c r="A298" s="97">
        <v>42108</v>
      </c>
      <c r="B298" s="47" t="s">
        <v>2429</v>
      </c>
      <c r="C298" s="37" t="s">
        <v>2576</v>
      </c>
      <c r="D298" s="37" t="s">
        <v>2577</v>
      </c>
    </row>
    <row r="299" spans="1:4" s="38" customFormat="1" x14ac:dyDescent="0.3">
      <c r="A299" s="97">
        <v>42108</v>
      </c>
      <c r="B299" s="47" t="s">
        <v>2562</v>
      </c>
      <c r="C299" s="37" t="s">
        <v>2576</v>
      </c>
      <c r="D299" s="37" t="s">
        <v>2577</v>
      </c>
    </row>
    <row r="300" spans="1:4" s="38" customFormat="1" x14ac:dyDescent="0.3">
      <c r="A300" s="97">
        <v>42108</v>
      </c>
      <c r="B300" s="47" t="s">
        <v>2563</v>
      </c>
      <c r="C300" s="37" t="s">
        <v>2576</v>
      </c>
      <c r="D300" s="37" t="s">
        <v>2577</v>
      </c>
    </row>
    <row r="301" spans="1:4" s="38" customFormat="1" x14ac:dyDescent="0.3">
      <c r="A301" s="97">
        <v>42108</v>
      </c>
      <c r="B301" s="47" t="s">
        <v>2564</v>
      </c>
      <c r="C301" s="37" t="s">
        <v>2578</v>
      </c>
      <c r="D301" s="37" t="s">
        <v>2577</v>
      </c>
    </row>
    <row r="302" spans="1:4" s="38" customFormat="1" x14ac:dyDescent="0.3">
      <c r="A302" s="97">
        <v>42108</v>
      </c>
      <c r="B302" s="47" t="s">
        <v>2565</v>
      </c>
      <c r="C302" s="37" t="s">
        <v>2578</v>
      </c>
      <c r="D302" s="37" t="s">
        <v>2577</v>
      </c>
    </row>
    <row r="303" spans="1:4" s="38" customFormat="1" x14ac:dyDescent="0.3">
      <c r="A303" s="97">
        <v>42108</v>
      </c>
      <c r="B303" s="47" t="s">
        <v>2566</v>
      </c>
      <c r="C303" s="37" t="s">
        <v>2578</v>
      </c>
      <c r="D303" s="37" t="s">
        <v>2577</v>
      </c>
    </row>
    <row r="304" spans="1:4" s="38" customFormat="1" x14ac:dyDescent="0.3">
      <c r="A304" s="97">
        <v>42108</v>
      </c>
      <c r="B304" s="47" t="s">
        <v>2431</v>
      </c>
      <c r="C304" s="37" t="s">
        <v>2576</v>
      </c>
      <c r="D304" s="37" t="s">
        <v>2577</v>
      </c>
    </row>
    <row r="305" spans="1:4" s="38" customFormat="1" x14ac:dyDescent="0.3">
      <c r="A305" s="97">
        <v>42108</v>
      </c>
      <c r="B305" s="47" t="s">
        <v>2433</v>
      </c>
      <c r="C305" s="37" t="s">
        <v>2576</v>
      </c>
      <c r="D305" s="37" t="s">
        <v>2577</v>
      </c>
    </row>
    <row r="306" spans="1:4" s="38" customFormat="1" x14ac:dyDescent="0.3">
      <c r="A306" s="97">
        <v>42108</v>
      </c>
      <c r="B306" s="47" t="s">
        <v>2526</v>
      </c>
      <c r="C306" s="37" t="s">
        <v>2576</v>
      </c>
      <c r="D306" s="37" t="s">
        <v>2577</v>
      </c>
    </row>
    <row r="307" spans="1:4" s="38" customFormat="1" x14ac:dyDescent="0.3">
      <c r="A307" s="97">
        <v>42108</v>
      </c>
      <c r="B307" s="47" t="s">
        <v>2567</v>
      </c>
      <c r="C307" s="37" t="s">
        <v>2579</v>
      </c>
      <c r="D307" s="37" t="s">
        <v>2577</v>
      </c>
    </row>
    <row r="308" spans="1:4" s="38" customFormat="1" x14ac:dyDescent="0.3">
      <c r="A308" s="97">
        <v>42108</v>
      </c>
      <c r="B308" s="47" t="s">
        <v>2568</v>
      </c>
      <c r="C308" s="37" t="s">
        <v>2576</v>
      </c>
      <c r="D308" s="37" t="s">
        <v>2577</v>
      </c>
    </row>
    <row r="309" spans="1:4" s="38" customFormat="1" x14ac:dyDescent="0.3">
      <c r="A309" s="97">
        <v>42108</v>
      </c>
      <c r="B309" s="47" t="s">
        <v>2569</v>
      </c>
      <c r="C309" s="37" t="s">
        <v>2576</v>
      </c>
      <c r="D309" s="37" t="s">
        <v>2577</v>
      </c>
    </row>
    <row r="310" spans="1:4" s="38" customFormat="1" x14ac:dyDescent="0.3">
      <c r="A310" s="97">
        <v>42108</v>
      </c>
      <c r="B310" s="47" t="s">
        <v>2570</v>
      </c>
      <c r="C310" s="37" t="s">
        <v>2576</v>
      </c>
      <c r="D310" s="37" t="s">
        <v>2577</v>
      </c>
    </row>
    <row r="311" spans="1:4" s="38" customFormat="1" x14ac:dyDescent="0.3">
      <c r="A311" s="97">
        <v>42108</v>
      </c>
      <c r="B311" s="47" t="s">
        <v>2571</v>
      </c>
      <c r="C311" s="37" t="s">
        <v>2576</v>
      </c>
      <c r="D311" s="37" t="s">
        <v>2577</v>
      </c>
    </row>
    <row r="312" spans="1:4" s="38" customFormat="1" x14ac:dyDescent="0.3">
      <c r="A312" s="97">
        <v>42108</v>
      </c>
      <c r="B312" s="47" t="s">
        <v>2572</v>
      </c>
      <c r="C312" s="37" t="s">
        <v>2576</v>
      </c>
      <c r="D312" s="37" t="s">
        <v>2577</v>
      </c>
    </row>
    <row r="313" spans="1:4" s="38" customFormat="1" x14ac:dyDescent="0.3">
      <c r="A313" s="97">
        <v>42108</v>
      </c>
      <c r="B313" s="47" t="s">
        <v>2573</v>
      </c>
      <c r="C313" s="37" t="s">
        <v>2576</v>
      </c>
      <c r="D313" s="37" t="s">
        <v>2577</v>
      </c>
    </row>
    <row r="314" spans="1:4" s="38" customFormat="1" x14ac:dyDescent="0.3">
      <c r="A314" s="97">
        <v>42108</v>
      </c>
      <c r="B314" s="47" t="s">
        <v>2574</v>
      </c>
      <c r="C314" s="37" t="s">
        <v>2576</v>
      </c>
      <c r="D314" s="37" t="s">
        <v>2577</v>
      </c>
    </row>
    <row r="315" spans="1:4" s="38" customFormat="1" x14ac:dyDescent="0.3">
      <c r="A315" s="97">
        <v>42108</v>
      </c>
      <c r="B315" s="47" t="s">
        <v>2575</v>
      </c>
      <c r="C315" s="37" t="s">
        <v>2576</v>
      </c>
      <c r="D315" s="37" t="s">
        <v>2577</v>
      </c>
    </row>
    <row r="316" spans="1:4" s="38" customFormat="1" x14ac:dyDescent="0.3">
      <c r="A316" s="97">
        <v>42108</v>
      </c>
      <c r="B316" s="47" t="s">
        <v>2001</v>
      </c>
      <c r="C316" s="37" t="s">
        <v>2533</v>
      </c>
      <c r="D316" s="37" t="s">
        <v>2534</v>
      </c>
    </row>
    <row r="317" spans="1:4" s="38" customFormat="1" x14ac:dyDescent="0.3">
      <c r="A317" s="97">
        <v>42108</v>
      </c>
      <c r="B317" s="47" t="s">
        <v>2002</v>
      </c>
      <c r="C317" s="37" t="s">
        <v>2533</v>
      </c>
      <c r="D317" s="37" t="s">
        <v>2534</v>
      </c>
    </row>
    <row r="318" spans="1:4" s="38" customFormat="1" x14ac:dyDescent="0.3">
      <c r="A318" s="97">
        <v>42108</v>
      </c>
      <c r="B318" s="37" t="s">
        <v>309</v>
      </c>
      <c r="C318" s="37" t="s">
        <v>2537</v>
      </c>
      <c r="D318" s="37" t="s">
        <v>2537</v>
      </c>
    </row>
    <row r="319" spans="1:4" s="38" customFormat="1" x14ac:dyDescent="0.3">
      <c r="A319" s="97">
        <v>42108</v>
      </c>
      <c r="B319" s="37" t="s">
        <v>312</v>
      </c>
      <c r="C319" s="37" t="s">
        <v>2537</v>
      </c>
      <c r="D319" s="37" t="s">
        <v>2537</v>
      </c>
    </row>
    <row r="320" spans="1:4" s="38" customFormat="1" x14ac:dyDescent="0.3">
      <c r="A320" s="97">
        <v>42108</v>
      </c>
      <c r="B320" s="37" t="s">
        <v>2535</v>
      </c>
      <c r="C320" s="37" t="s">
        <v>2537</v>
      </c>
      <c r="D320" s="37" t="s">
        <v>2537</v>
      </c>
    </row>
    <row r="321" spans="1:4" s="38" customFormat="1" x14ac:dyDescent="0.3">
      <c r="A321" s="97">
        <v>42108</v>
      </c>
      <c r="B321" s="37" t="s">
        <v>2536</v>
      </c>
      <c r="C321" s="37" t="s">
        <v>2537</v>
      </c>
      <c r="D321" s="37" t="s">
        <v>2537</v>
      </c>
    </row>
    <row r="322" spans="1:4" s="38" customFormat="1" x14ac:dyDescent="0.3">
      <c r="A322" s="97">
        <v>42108</v>
      </c>
      <c r="B322" s="37" t="s">
        <v>2538</v>
      </c>
      <c r="C322" s="37" t="s">
        <v>311</v>
      </c>
      <c r="D322" s="37" t="s">
        <v>2544</v>
      </c>
    </row>
    <row r="323" spans="1:4" s="38" customFormat="1" x14ac:dyDescent="0.3">
      <c r="A323" s="97">
        <v>42108</v>
      </c>
      <c r="B323" s="37" t="s">
        <v>2539</v>
      </c>
      <c r="C323" s="37" t="s">
        <v>962</v>
      </c>
      <c r="D323" s="37" t="s">
        <v>2543</v>
      </c>
    </row>
    <row r="324" spans="1:4" s="38" customFormat="1" x14ac:dyDescent="0.3">
      <c r="A324" s="97">
        <v>42108</v>
      </c>
      <c r="B324" s="37" t="s">
        <v>2540</v>
      </c>
      <c r="C324" s="37" t="s">
        <v>1486</v>
      </c>
      <c r="D324" s="37" t="s">
        <v>962</v>
      </c>
    </row>
    <row r="325" spans="1:4" s="38" customFormat="1" x14ac:dyDescent="0.3">
      <c r="A325" s="97">
        <v>42108</v>
      </c>
      <c r="B325" s="37" t="s">
        <v>1485</v>
      </c>
      <c r="C325" s="37" t="s">
        <v>1486</v>
      </c>
      <c r="D325" s="37" t="s">
        <v>2543</v>
      </c>
    </row>
    <row r="326" spans="1:4" s="38" customFormat="1" x14ac:dyDescent="0.3">
      <c r="A326" s="97">
        <v>42108</v>
      </c>
      <c r="B326" s="37" t="s">
        <v>2541</v>
      </c>
      <c r="C326" s="37" t="s">
        <v>1486</v>
      </c>
      <c r="D326" s="37" t="s">
        <v>962</v>
      </c>
    </row>
    <row r="327" spans="1:4" s="38" customFormat="1" x14ac:dyDescent="0.3">
      <c r="A327" s="97">
        <v>42108</v>
      </c>
      <c r="B327" s="37" t="s">
        <v>1487</v>
      </c>
      <c r="C327" s="37" t="s">
        <v>1486</v>
      </c>
      <c r="D327" s="37" t="s">
        <v>2543</v>
      </c>
    </row>
    <row r="328" spans="1:4" s="38" customFormat="1" x14ac:dyDescent="0.3">
      <c r="A328" s="97">
        <v>42108</v>
      </c>
      <c r="B328" s="37" t="s">
        <v>328</v>
      </c>
      <c r="C328" s="37" t="s">
        <v>330</v>
      </c>
      <c r="D328" s="37" t="s">
        <v>2545</v>
      </c>
    </row>
    <row r="329" spans="1:4" s="38" customFormat="1" x14ac:dyDescent="0.3">
      <c r="A329" s="97">
        <v>42108</v>
      </c>
      <c r="B329" s="37" t="s">
        <v>2542</v>
      </c>
      <c r="C329" s="37" t="s">
        <v>311</v>
      </c>
      <c r="D329" s="37" t="s">
        <v>2544</v>
      </c>
    </row>
    <row r="330" spans="1:4" s="38" customFormat="1" x14ac:dyDescent="0.3">
      <c r="A330" s="97">
        <v>42108</v>
      </c>
      <c r="B330" s="37" t="s">
        <v>331</v>
      </c>
      <c r="C330" s="37" t="s">
        <v>330</v>
      </c>
      <c r="D330" s="37" t="s">
        <v>2545</v>
      </c>
    </row>
    <row r="331" spans="1:4" s="38" customFormat="1" x14ac:dyDescent="0.3">
      <c r="A331" s="97">
        <v>42108</v>
      </c>
      <c r="B331" s="29" t="s">
        <v>2546</v>
      </c>
      <c r="C331" s="37" t="s">
        <v>2548</v>
      </c>
      <c r="D331" s="37" t="s">
        <v>2545</v>
      </c>
    </row>
    <row r="332" spans="1:4" s="38" customFormat="1" x14ac:dyDescent="0.3">
      <c r="A332" s="97">
        <v>42108</v>
      </c>
      <c r="B332" s="29" t="s">
        <v>332</v>
      </c>
      <c r="C332" s="37" t="s">
        <v>330</v>
      </c>
      <c r="D332" s="37" t="s">
        <v>2545</v>
      </c>
    </row>
    <row r="333" spans="1:4" s="38" customFormat="1" x14ac:dyDescent="0.3">
      <c r="A333" s="97">
        <v>42108</v>
      </c>
      <c r="B333" s="29" t="s">
        <v>333</v>
      </c>
      <c r="C333" s="37" t="s">
        <v>330</v>
      </c>
      <c r="D333" s="37" t="s">
        <v>2545</v>
      </c>
    </row>
    <row r="334" spans="1:4" s="38" customFormat="1" x14ac:dyDescent="0.3">
      <c r="A334" s="97">
        <v>42108</v>
      </c>
      <c r="B334" s="29" t="s">
        <v>2547</v>
      </c>
      <c r="C334" s="37" t="s">
        <v>330</v>
      </c>
      <c r="D334" s="37" t="s">
        <v>2545</v>
      </c>
    </row>
    <row r="335" spans="1:4" s="38" customFormat="1" x14ac:dyDescent="0.3">
      <c r="A335" s="97">
        <v>42108</v>
      </c>
      <c r="B335" s="29" t="s">
        <v>334</v>
      </c>
      <c r="C335" s="37" t="s">
        <v>330</v>
      </c>
      <c r="D335" s="37" t="s">
        <v>2545</v>
      </c>
    </row>
    <row r="336" spans="1:4" s="38" customFormat="1" x14ac:dyDescent="0.3">
      <c r="A336" s="97">
        <v>42108</v>
      </c>
      <c r="B336" s="29" t="s">
        <v>335</v>
      </c>
      <c r="C336" s="37" t="s">
        <v>330</v>
      </c>
      <c r="D336" s="37" t="s">
        <v>2545</v>
      </c>
    </row>
    <row r="337" spans="1:4" s="38" customFormat="1" x14ac:dyDescent="0.3">
      <c r="A337" s="97">
        <v>42108</v>
      </c>
      <c r="B337" s="29" t="s">
        <v>336</v>
      </c>
      <c r="C337" s="37" t="s">
        <v>330</v>
      </c>
      <c r="D337" s="37" t="s">
        <v>2545</v>
      </c>
    </row>
    <row r="338" spans="1:4" s="38" customFormat="1" x14ac:dyDescent="0.3">
      <c r="A338" s="97">
        <v>42108</v>
      </c>
      <c r="B338" s="29" t="s">
        <v>337</v>
      </c>
      <c r="C338" s="37" t="s">
        <v>330</v>
      </c>
      <c r="D338" s="37" t="s">
        <v>2545</v>
      </c>
    </row>
    <row r="339" spans="1:4" s="38" customFormat="1" x14ac:dyDescent="0.3">
      <c r="A339" s="97">
        <v>42108</v>
      </c>
      <c r="B339" s="29" t="s">
        <v>338</v>
      </c>
      <c r="C339" s="37" t="s">
        <v>330</v>
      </c>
      <c r="D339" s="37" t="s">
        <v>2545</v>
      </c>
    </row>
    <row r="340" spans="1:4" s="38" customFormat="1" x14ac:dyDescent="0.3">
      <c r="A340" s="97">
        <v>42108</v>
      </c>
      <c r="B340" s="29" t="s">
        <v>1804</v>
      </c>
      <c r="C340" s="37" t="s">
        <v>330</v>
      </c>
      <c r="D340" s="37" t="s">
        <v>2545</v>
      </c>
    </row>
    <row r="341" spans="1:4" s="38" customFormat="1" x14ac:dyDescent="0.3">
      <c r="A341" s="97">
        <v>42108</v>
      </c>
      <c r="B341" s="29" t="s">
        <v>339</v>
      </c>
      <c r="C341" s="37" t="s">
        <v>341</v>
      </c>
      <c r="D341" s="37" t="s">
        <v>2551</v>
      </c>
    </row>
    <row r="342" spans="1:4" s="38" customFormat="1" x14ac:dyDescent="0.3">
      <c r="A342" s="97">
        <v>42108</v>
      </c>
      <c r="B342" s="29" t="s">
        <v>342</v>
      </c>
      <c r="C342" s="37" t="s">
        <v>341</v>
      </c>
      <c r="D342" s="37" t="s">
        <v>2551</v>
      </c>
    </row>
    <row r="343" spans="1:4" s="38" customFormat="1" x14ac:dyDescent="0.3">
      <c r="A343" s="97">
        <v>42108</v>
      </c>
      <c r="B343" s="29" t="s">
        <v>343</v>
      </c>
      <c r="C343" s="37" t="s">
        <v>341</v>
      </c>
      <c r="D343" s="37" t="s">
        <v>2551</v>
      </c>
    </row>
    <row r="344" spans="1:4" s="38" customFormat="1" x14ac:dyDescent="0.3">
      <c r="A344" s="97">
        <v>42108</v>
      </c>
      <c r="B344" s="29" t="s">
        <v>344</v>
      </c>
      <c r="C344" s="37" t="s">
        <v>341</v>
      </c>
      <c r="D344" s="37" t="s">
        <v>2551</v>
      </c>
    </row>
    <row r="345" spans="1:4" s="38" customFormat="1" x14ac:dyDescent="0.3">
      <c r="A345" s="97">
        <v>42108</v>
      </c>
      <c r="B345" s="29" t="s">
        <v>345</v>
      </c>
      <c r="C345" s="37" t="s">
        <v>341</v>
      </c>
      <c r="D345" s="37" t="s">
        <v>2551</v>
      </c>
    </row>
    <row r="346" spans="1:4" s="38" customFormat="1" x14ac:dyDescent="0.3">
      <c r="A346" s="97">
        <v>42108</v>
      </c>
      <c r="B346" s="29" t="s">
        <v>2549</v>
      </c>
      <c r="C346" s="37" t="s">
        <v>341</v>
      </c>
      <c r="D346" s="37" t="s">
        <v>2551</v>
      </c>
    </row>
    <row r="347" spans="1:4" s="38" customFormat="1" x14ac:dyDescent="0.3">
      <c r="A347" s="97">
        <v>42108</v>
      </c>
      <c r="B347" s="29" t="s">
        <v>346</v>
      </c>
      <c r="C347" s="37" t="s">
        <v>341</v>
      </c>
      <c r="D347" s="37" t="s">
        <v>2551</v>
      </c>
    </row>
    <row r="348" spans="1:4" s="38" customFormat="1" x14ac:dyDescent="0.3">
      <c r="A348" s="97">
        <v>42108</v>
      </c>
      <c r="B348" s="29" t="s">
        <v>347</v>
      </c>
      <c r="C348" s="37" t="s">
        <v>341</v>
      </c>
      <c r="D348" s="37" t="s">
        <v>2551</v>
      </c>
    </row>
    <row r="349" spans="1:4" s="38" customFormat="1" x14ac:dyDescent="0.3">
      <c r="A349" s="97">
        <v>42108</v>
      </c>
      <c r="B349" s="29" t="s">
        <v>348</v>
      </c>
      <c r="C349" s="37" t="s">
        <v>341</v>
      </c>
      <c r="D349" s="37" t="s">
        <v>2551</v>
      </c>
    </row>
    <row r="350" spans="1:4" s="38" customFormat="1" x14ac:dyDescent="0.3">
      <c r="A350" s="97">
        <v>42108</v>
      </c>
      <c r="B350" s="29" t="s">
        <v>349</v>
      </c>
      <c r="C350" s="37" t="s">
        <v>341</v>
      </c>
      <c r="D350" s="37" t="s">
        <v>2551</v>
      </c>
    </row>
    <row r="351" spans="1:4" s="38" customFormat="1" x14ac:dyDescent="0.3">
      <c r="A351" s="97">
        <v>42108</v>
      </c>
      <c r="B351" s="29" t="s">
        <v>2550</v>
      </c>
      <c r="C351" s="37" t="s">
        <v>341</v>
      </c>
      <c r="D351" s="37" t="s">
        <v>2551</v>
      </c>
    </row>
    <row r="352" spans="1:4" s="38" customFormat="1" x14ac:dyDescent="0.3">
      <c r="A352" s="97">
        <v>42108</v>
      </c>
      <c r="B352" s="29" t="s">
        <v>350</v>
      </c>
      <c r="C352" s="37" t="s">
        <v>341</v>
      </c>
      <c r="D352" s="37" t="s">
        <v>2551</v>
      </c>
    </row>
    <row r="353" spans="1:4" s="38" customFormat="1" x14ac:dyDescent="0.3">
      <c r="A353" s="97">
        <v>42108</v>
      </c>
      <c r="B353" s="29" t="s">
        <v>2552</v>
      </c>
      <c r="C353" s="37" t="s">
        <v>2553</v>
      </c>
      <c r="D353" s="37" t="s">
        <v>2554</v>
      </c>
    </row>
    <row r="354" spans="1:4" s="38" customFormat="1" x14ac:dyDescent="0.3">
      <c r="A354" s="97">
        <v>42108</v>
      </c>
      <c r="B354" s="29" t="s">
        <v>2555</v>
      </c>
      <c r="C354" s="37" t="s">
        <v>102</v>
      </c>
      <c r="D354" s="37" t="s">
        <v>2556</v>
      </c>
    </row>
    <row r="355" spans="1:4" s="38" customFormat="1" x14ac:dyDescent="0.3">
      <c r="A355" s="97">
        <v>42108</v>
      </c>
      <c r="B355" s="29" t="s">
        <v>359</v>
      </c>
      <c r="C355" s="37" t="s">
        <v>102</v>
      </c>
      <c r="D355" s="37" t="s">
        <v>2556</v>
      </c>
    </row>
    <row r="356" spans="1:4" s="38" customFormat="1" x14ac:dyDescent="0.3">
      <c r="A356" s="97">
        <v>42108</v>
      </c>
      <c r="B356" s="37" t="s">
        <v>99</v>
      </c>
      <c r="C356" s="37" t="s">
        <v>2134</v>
      </c>
      <c r="D356" s="37" t="s">
        <v>2557</v>
      </c>
    </row>
    <row r="357" spans="1:4" s="38" customFormat="1" x14ac:dyDescent="0.3">
      <c r="A357" s="97">
        <v>42108</v>
      </c>
      <c r="B357" s="37" t="s">
        <v>361</v>
      </c>
      <c r="C357" s="37" t="s">
        <v>362</v>
      </c>
      <c r="D357" s="37" t="s">
        <v>2558</v>
      </c>
    </row>
    <row r="358" spans="1:4" s="38" customFormat="1" x14ac:dyDescent="0.3">
      <c r="A358" s="97">
        <v>42108</v>
      </c>
      <c r="B358" s="29" t="s">
        <v>365</v>
      </c>
      <c r="C358" s="37" t="s">
        <v>311</v>
      </c>
      <c r="D358" s="37" t="s">
        <v>2544</v>
      </c>
    </row>
    <row r="359" spans="1:4" s="38" customFormat="1" x14ac:dyDescent="0.3">
      <c r="A359" s="97">
        <v>42108</v>
      </c>
      <c r="B359" s="29" t="s">
        <v>367</v>
      </c>
      <c r="C359" s="37" t="s">
        <v>311</v>
      </c>
      <c r="D359" s="37" t="s">
        <v>2544</v>
      </c>
    </row>
    <row r="360" spans="1:4" s="38" customFormat="1" x14ac:dyDescent="0.3">
      <c r="A360" s="97">
        <v>42108</v>
      </c>
      <c r="B360" s="37" t="s">
        <v>373</v>
      </c>
      <c r="C360" s="37" t="s">
        <v>362</v>
      </c>
      <c r="D360" s="37" t="s">
        <v>2559</v>
      </c>
    </row>
    <row r="361" spans="1:4" s="38" customFormat="1" x14ac:dyDescent="0.3">
      <c r="A361" s="103">
        <v>42213</v>
      </c>
      <c r="B361" s="51" t="s">
        <v>1519</v>
      </c>
      <c r="C361" s="51" t="s">
        <v>2652</v>
      </c>
      <c r="D361" s="49" t="s">
        <v>2668</v>
      </c>
    </row>
    <row r="362" spans="1:4" s="38" customFormat="1" x14ac:dyDescent="0.3">
      <c r="A362" s="103">
        <v>42213</v>
      </c>
      <c r="B362" s="51" t="s">
        <v>1520</v>
      </c>
      <c r="C362" s="51" t="s">
        <v>2652</v>
      </c>
      <c r="D362" s="49" t="s">
        <v>2668</v>
      </c>
    </row>
    <row r="363" spans="1:4" s="38" customFormat="1" x14ac:dyDescent="0.3">
      <c r="A363" s="103">
        <v>42213</v>
      </c>
      <c r="B363" s="51" t="s">
        <v>2653</v>
      </c>
      <c r="C363" s="51" t="s">
        <v>2659</v>
      </c>
      <c r="D363" s="51" t="s">
        <v>2660</v>
      </c>
    </row>
    <row r="364" spans="1:4" s="38" customFormat="1" x14ac:dyDescent="0.3">
      <c r="A364" s="103">
        <v>42213</v>
      </c>
      <c r="B364" s="51" t="s">
        <v>2654</v>
      </c>
      <c r="C364" s="51" t="s">
        <v>2659</v>
      </c>
      <c r="D364" s="51" t="s">
        <v>2660</v>
      </c>
    </row>
    <row r="365" spans="1:4" s="38" customFormat="1" x14ac:dyDescent="0.3">
      <c r="A365" s="103">
        <v>42213</v>
      </c>
      <c r="B365" s="51" t="s">
        <v>2629</v>
      </c>
      <c r="C365" s="51" t="s">
        <v>1033</v>
      </c>
      <c r="D365" s="51" t="s">
        <v>2649</v>
      </c>
    </row>
    <row r="366" spans="1:4" s="38" customFormat="1" x14ac:dyDescent="0.3">
      <c r="A366" s="103">
        <v>42213</v>
      </c>
      <c r="B366" s="51" t="s">
        <v>1030</v>
      </c>
      <c r="C366" s="51" t="s">
        <v>1033</v>
      </c>
      <c r="D366" s="51" t="s">
        <v>2649</v>
      </c>
    </row>
    <row r="367" spans="1:4" s="38" customFormat="1" x14ac:dyDescent="0.3">
      <c r="A367" s="103">
        <v>42213</v>
      </c>
      <c r="B367" s="51" t="s">
        <v>2630</v>
      </c>
      <c r="C367" s="51" t="s">
        <v>1033</v>
      </c>
      <c r="D367" s="51" t="s">
        <v>2649</v>
      </c>
    </row>
    <row r="368" spans="1:4" s="38" customFormat="1" x14ac:dyDescent="0.3">
      <c r="A368" s="103">
        <v>42213</v>
      </c>
      <c r="B368" s="51" t="s">
        <v>2631</v>
      </c>
      <c r="C368" s="51" t="s">
        <v>2645</v>
      </c>
      <c r="D368" s="51" t="s">
        <v>2649</v>
      </c>
    </row>
    <row r="369" spans="1:4" s="38" customFormat="1" x14ac:dyDescent="0.3">
      <c r="A369" s="103">
        <v>42213</v>
      </c>
      <c r="B369" s="51" t="s">
        <v>2632</v>
      </c>
      <c r="C369" s="51" t="s">
        <v>1033</v>
      </c>
      <c r="D369" s="51" t="s">
        <v>2649</v>
      </c>
    </row>
    <row r="370" spans="1:4" s="38" customFormat="1" x14ac:dyDescent="0.3">
      <c r="A370" s="103">
        <v>42213</v>
      </c>
      <c r="B370" s="51" t="s">
        <v>2633</v>
      </c>
      <c r="C370" s="51" t="s">
        <v>1033</v>
      </c>
      <c r="D370" s="51" t="s">
        <v>2649</v>
      </c>
    </row>
    <row r="371" spans="1:4" s="38" customFormat="1" x14ac:dyDescent="0.3">
      <c r="A371" s="103">
        <v>42213</v>
      </c>
      <c r="B371" s="51" t="s">
        <v>2634</v>
      </c>
      <c r="C371" s="51" t="s">
        <v>1033</v>
      </c>
      <c r="D371" s="51" t="s">
        <v>2649</v>
      </c>
    </row>
    <row r="372" spans="1:4" s="38" customFormat="1" x14ac:dyDescent="0.3">
      <c r="A372" s="103">
        <v>42213</v>
      </c>
      <c r="B372" s="51" t="s">
        <v>1283</v>
      </c>
      <c r="C372" s="51" t="s">
        <v>1033</v>
      </c>
      <c r="D372" s="51" t="s">
        <v>2649</v>
      </c>
    </row>
    <row r="373" spans="1:4" s="38" customFormat="1" x14ac:dyDescent="0.3">
      <c r="A373" s="103">
        <v>42213</v>
      </c>
      <c r="B373" s="51" t="s">
        <v>1286</v>
      </c>
      <c r="C373" s="51" t="s">
        <v>1033</v>
      </c>
      <c r="D373" s="51" t="s">
        <v>2649</v>
      </c>
    </row>
    <row r="374" spans="1:4" s="38" customFormat="1" x14ac:dyDescent="0.3">
      <c r="A374" s="103">
        <v>42213</v>
      </c>
      <c r="B374" s="51" t="s">
        <v>2095</v>
      </c>
      <c r="C374" s="51" t="s">
        <v>2646</v>
      </c>
      <c r="D374" s="51" t="s">
        <v>2649</v>
      </c>
    </row>
    <row r="375" spans="1:4" s="38" customFormat="1" x14ac:dyDescent="0.3">
      <c r="A375" s="103">
        <v>42213</v>
      </c>
      <c r="B375" s="51" t="s">
        <v>2039</v>
      </c>
      <c r="C375" s="51" t="s">
        <v>2646</v>
      </c>
      <c r="D375" s="51" t="s">
        <v>2649</v>
      </c>
    </row>
    <row r="376" spans="1:4" s="38" customFormat="1" x14ac:dyDescent="0.3">
      <c r="A376" s="103">
        <v>42213</v>
      </c>
      <c r="B376" s="51" t="s">
        <v>2635</v>
      </c>
      <c r="C376" s="51" t="s">
        <v>2647</v>
      </c>
      <c r="D376" s="51" t="s">
        <v>2649</v>
      </c>
    </row>
    <row r="377" spans="1:4" s="38" customFormat="1" x14ac:dyDescent="0.3">
      <c r="A377" s="103">
        <v>42213</v>
      </c>
      <c r="B377" s="51" t="s">
        <v>2636</v>
      </c>
      <c r="C377" s="51" t="s">
        <v>1042</v>
      </c>
      <c r="D377" s="51" t="s">
        <v>2649</v>
      </c>
    </row>
    <row r="378" spans="1:4" s="38" customFormat="1" x14ac:dyDescent="0.3">
      <c r="A378" s="103">
        <v>42213</v>
      </c>
      <c r="B378" s="51" t="s">
        <v>2637</v>
      </c>
      <c r="C378" s="51" t="s">
        <v>1042</v>
      </c>
      <c r="D378" s="51" t="s">
        <v>2649</v>
      </c>
    </row>
    <row r="379" spans="1:4" s="38" customFormat="1" x14ac:dyDescent="0.3">
      <c r="A379" s="103">
        <v>42213</v>
      </c>
      <c r="B379" s="51" t="s">
        <v>2041</v>
      </c>
      <c r="C379" s="51" t="s">
        <v>2646</v>
      </c>
      <c r="D379" s="51" t="s">
        <v>2649</v>
      </c>
    </row>
    <row r="380" spans="1:4" s="38" customFormat="1" x14ac:dyDescent="0.3">
      <c r="A380" s="103">
        <v>42213</v>
      </c>
      <c r="B380" s="51" t="s">
        <v>2638</v>
      </c>
      <c r="C380" s="51" t="s">
        <v>1042</v>
      </c>
      <c r="D380" s="51" t="s">
        <v>2649</v>
      </c>
    </row>
    <row r="381" spans="1:4" s="38" customFormat="1" x14ac:dyDescent="0.3">
      <c r="A381" s="103">
        <v>42213</v>
      </c>
      <c r="B381" s="51" t="s">
        <v>2639</v>
      </c>
      <c r="C381" s="51" t="s">
        <v>2648</v>
      </c>
      <c r="D381" s="51" t="s">
        <v>2649</v>
      </c>
    </row>
    <row r="382" spans="1:4" s="38" customFormat="1" x14ac:dyDescent="0.3">
      <c r="A382" s="103">
        <v>42213</v>
      </c>
      <c r="B382" s="51" t="s">
        <v>2640</v>
      </c>
      <c r="C382" s="51" t="s">
        <v>1042</v>
      </c>
      <c r="D382" s="51" t="s">
        <v>2649</v>
      </c>
    </row>
    <row r="383" spans="1:4" s="38" customFormat="1" x14ac:dyDescent="0.3">
      <c r="A383" s="103">
        <v>42213</v>
      </c>
      <c r="B383" s="51" t="s">
        <v>2641</v>
      </c>
      <c r="C383" s="51" t="s">
        <v>1042</v>
      </c>
      <c r="D383" s="51" t="s">
        <v>2650</v>
      </c>
    </row>
    <row r="384" spans="1:4" s="38" customFormat="1" x14ac:dyDescent="0.3">
      <c r="A384" s="103">
        <v>42213</v>
      </c>
      <c r="B384" s="51" t="s">
        <v>1039</v>
      </c>
      <c r="C384" s="51" t="s">
        <v>1042</v>
      </c>
      <c r="D384" s="51" t="s">
        <v>2650</v>
      </c>
    </row>
    <row r="385" spans="1:4" s="38" customFormat="1" x14ac:dyDescent="0.3">
      <c r="A385" s="103">
        <v>42213</v>
      </c>
      <c r="B385" s="51" t="s">
        <v>1043</v>
      </c>
      <c r="C385" s="51" t="s">
        <v>1042</v>
      </c>
      <c r="D385" s="51" t="s">
        <v>2650</v>
      </c>
    </row>
    <row r="386" spans="1:4" s="38" customFormat="1" x14ac:dyDescent="0.3">
      <c r="A386" s="103">
        <v>42213</v>
      </c>
      <c r="B386" s="51" t="s">
        <v>2642</v>
      </c>
      <c r="C386" s="51" t="s">
        <v>1042</v>
      </c>
      <c r="D386" s="51" t="s">
        <v>2650</v>
      </c>
    </row>
    <row r="387" spans="1:4" s="38" customFormat="1" x14ac:dyDescent="0.3">
      <c r="A387" s="103">
        <v>42213</v>
      </c>
      <c r="B387" s="51" t="s">
        <v>1046</v>
      </c>
      <c r="C387" s="51" t="s">
        <v>1042</v>
      </c>
      <c r="D387" s="51" t="s">
        <v>2650</v>
      </c>
    </row>
    <row r="388" spans="1:4" s="38" customFormat="1" x14ac:dyDescent="0.3">
      <c r="A388" s="103">
        <v>42213</v>
      </c>
      <c r="B388" s="51" t="s">
        <v>1049</v>
      </c>
      <c r="C388" s="51" t="s">
        <v>1042</v>
      </c>
      <c r="D388" s="51" t="s">
        <v>2650</v>
      </c>
    </row>
    <row r="389" spans="1:4" s="38" customFormat="1" x14ac:dyDescent="0.3">
      <c r="A389" s="103">
        <v>42213</v>
      </c>
      <c r="B389" s="51" t="s">
        <v>1454</v>
      </c>
      <c r="C389" s="51" t="s">
        <v>1042</v>
      </c>
      <c r="D389" s="51" t="s">
        <v>2650</v>
      </c>
    </row>
    <row r="390" spans="1:4" s="38" customFormat="1" x14ac:dyDescent="0.3">
      <c r="A390" s="103">
        <v>42213</v>
      </c>
      <c r="B390" s="51" t="s">
        <v>1051</v>
      </c>
      <c r="C390" s="51" t="s">
        <v>1042</v>
      </c>
      <c r="D390" s="51" t="s">
        <v>2650</v>
      </c>
    </row>
    <row r="391" spans="1:4" s="38" customFormat="1" x14ac:dyDescent="0.3">
      <c r="A391" s="103">
        <v>42213</v>
      </c>
      <c r="B391" s="51" t="s">
        <v>2643</v>
      </c>
      <c r="C391" s="51" t="s">
        <v>1042</v>
      </c>
      <c r="D391" s="51" t="s">
        <v>2650</v>
      </c>
    </row>
    <row r="392" spans="1:4" s="38" customFormat="1" x14ac:dyDescent="0.3">
      <c r="A392" s="103">
        <v>42213</v>
      </c>
      <c r="B392" s="51" t="s">
        <v>1054</v>
      </c>
      <c r="C392" s="51" t="s">
        <v>1042</v>
      </c>
      <c r="D392" s="51" t="s">
        <v>2650</v>
      </c>
    </row>
    <row r="393" spans="1:4" s="38" customFormat="1" x14ac:dyDescent="0.3">
      <c r="A393" s="103">
        <v>42213</v>
      </c>
      <c r="B393" s="51" t="s">
        <v>1057</v>
      </c>
      <c r="C393" s="51" t="s">
        <v>1042</v>
      </c>
      <c r="D393" s="51" t="s">
        <v>2650</v>
      </c>
    </row>
    <row r="394" spans="1:4" s="38" customFormat="1" x14ac:dyDescent="0.3">
      <c r="A394" s="103">
        <v>42213</v>
      </c>
      <c r="B394" s="51" t="s">
        <v>1060</v>
      </c>
      <c r="C394" s="51" t="s">
        <v>1042</v>
      </c>
      <c r="D394" s="51" t="s">
        <v>2650</v>
      </c>
    </row>
    <row r="395" spans="1:4" s="38" customFormat="1" x14ac:dyDescent="0.3">
      <c r="A395" s="103">
        <v>42213</v>
      </c>
      <c r="B395" s="51" t="s">
        <v>2644</v>
      </c>
      <c r="C395" s="51" t="s">
        <v>1042</v>
      </c>
      <c r="D395" s="51" t="s">
        <v>2650</v>
      </c>
    </row>
    <row r="396" spans="1:4" s="38" customFormat="1" x14ac:dyDescent="0.3">
      <c r="A396" s="103">
        <v>42213</v>
      </c>
      <c r="B396" s="51" t="s">
        <v>1063</v>
      </c>
      <c r="C396" s="51" t="s">
        <v>1042</v>
      </c>
      <c r="D396" s="51" t="s">
        <v>2650</v>
      </c>
    </row>
    <row r="397" spans="1:4" s="38" customFormat="1" x14ac:dyDescent="0.3">
      <c r="A397" s="103">
        <v>42213</v>
      </c>
      <c r="B397" s="51" t="s">
        <v>1066</v>
      </c>
      <c r="C397" s="51" t="s">
        <v>1042</v>
      </c>
      <c r="D397" s="51" t="s">
        <v>2650</v>
      </c>
    </row>
    <row r="398" spans="1:4" s="38" customFormat="1" x14ac:dyDescent="0.3">
      <c r="A398" s="103">
        <v>42213</v>
      </c>
      <c r="B398" s="51" t="s">
        <v>1562</v>
      </c>
      <c r="C398" s="51" t="s">
        <v>384</v>
      </c>
      <c r="D398" s="51" t="s">
        <v>2649</v>
      </c>
    </row>
    <row r="399" spans="1:4" s="38" customFormat="1" x14ac:dyDescent="0.3">
      <c r="A399" s="103">
        <v>42213</v>
      </c>
      <c r="B399" s="51" t="s">
        <v>1564</v>
      </c>
      <c r="C399" s="51" t="s">
        <v>384</v>
      </c>
      <c r="D399" s="51" t="s">
        <v>2649</v>
      </c>
    </row>
    <row r="400" spans="1:4" s="38" customFormat="1" x14ac:dyDescent="0.3">
      <c r="A400" s="103">
        <v>42213</v>
      </c>
      <c r="B400" s="51" t="s">
        <v>1566</v>
      </c>
      <c r="C400" s="51" t="s">
        <v>384</v>
      </c>
      <c r="D400" s="51" t="s">
        <v>2649</v>
      </c>
    </row>
    <row r="401" spans="1:4" s="38" customFormat="1" x14ac:dyDescent="0.3">
      <c r="A401" s="103">
        <v>42213</v>
      </c>
      <c r="B401" s="51" t="s">
        <v>1568</v>
      </c>
      <c r="C401" s="51" t="s">
        <v>384</v>
      </c>
      <c r="D401" s="51" t="s">
        <v>2649</v>
      </c>
    </row>
    <row r="402" spans="1:4" s="38" customFormat="1" x14ac:dyDescent="0.3">
      <c r="A402" s="103">
        <v>42213</v>
      </c>
      <c r="B402" s="51" t="s">
        <v>1570</v>
      </c>
      <c r="C402" s="51" t="s">
        <v>384</v>
      </c>
      <c r="D402" s="51" t="s">
        <v>2649</v>
      </c>
    </row>
    <row r="403" spans="1:4" s="38" customFormat="1" x14ac:dyDescent="0.3">
      <c r="A403" s="105">
        <v>42265</v>
      </c>
      <c r="B403" s="53" t="s">
        <v>2249</v>
      </c>
      <c r="C403" s="53" t="s">
        <v>2266</v>
      </c>
      <c r="D403" s="53" t="s">
        <v>2721</v>
      </c>
    </row>
    <row r="404" spans="1:4" s="38" customFormat="1" x14ac:dyDescent="0.3">
      <c r="A404" s="105">
        <v>42265</v>
      </c>
      <c r="B404" s="53" t="s">
        <v>2251</v>
      </c>
      <c r="C404" s="53" t="s">
        <v>2266</v>
      </c>
      <c r="D404" s="53" t="s">
        <v>2721</v>
      </c>
    </row>
    <row r="405" spans="1:4" s="38" customFormat="1" x14ac:dyDescent="0.3">
      <c r="A405" s="111">
        <v>42286</v>
      </c>
      <c r="B405" s="57" t="s">
        <v>2629</v>
      </c>
      <c r="C405" s="57" t="s">
        <v>2649</v>
      </c>
      <c r="D405" s="57" t="s">
        <v>2754</v>
      </c>
    </row>
    <row r="406" spans="1:4" s="38" customFormat="1" x14ac:dyDescent="0.3">
      <c r="A406" s="111">
        <v>42286</v>
      </c>
      <c r="B406" s="57" t="s">
        <v>1030</v>
      </c>
      <c r="C406" s="57" t="s">
        <v>2649</v>
      </c>
      <c r="D406" s="57" t="s">
        <v>2754</v>
      </c>
    </row>
    <row r="407" spans="1:4" s="38" customFormat="1" x14ac:dyDescent="0.3">
      <c r="A407" s="111">
        <v>42286</v>
      </c>
      <c r="B407" s="57" t="s">
        <v>2630</v>
      </c>
      <c r="C407" s="57" t="s">
        <v>2649</v>
      </c>
      <c r="D407" s="57" t="s">
        <v>2754</v>
      </c>
    </row>
    <row r="408" spans="1:4" s="38" customFormat="1" x14ac:dyDescent="0.3">
      <c r="A408" s="111">
        <v>42286</v>
      </c>
      <c r="B408" s="57" t="s">
        <v>2631</v>
      </c>
      <c r="C408" s="57" t="s">
        <v>2649</v>
      </c>
      <c r="D408" s="57" t="s">
        <v>2754</v>
      </c>
    </row>
    <row r="409" spans="1:4" s="38" customFormat="1" x14ac:dyDescent="0.3">
      <c r="A409" s="111">
        <v>42286</v>
      </c>
      <c r="B409" s="57" t="s">
        <v>2632</v>
      </c>
      <c r="C409" s="57" t="s">
        <v>2649</v>
      </c>
      <c r="D409" s="57" t="s">
        <v>2754</v>
      </c>
    </row>
    <row r="410" spans="1:4" s="38" customFormat="1" x14ac:dyDescent="0.3">
      <c r="A410" s="111">
        <v>42286</v>
      </c>
      <c r="B410" s="57" t="s">
        <v>2633</v>
      </c>
      <c r="C410" s="57" t="s">
        <v>2649</v>
      </c>
      <c r="D410" s="57" t="s">
        <v>2754</v>
      </c>
    </row>
    <row r="411" spans="1:4" s="38" customFormat="1" x14ac:dyDescent="0.3">
      <c r="A411" s="111">
        <v>42286</v>
      </c>
      <c r="B411" s="57" t="s">
        <v>2634</v>
      </c>
      <c r="C411" s="57" t="s">
        <v>2649</v>
      </c>
      <c r="D411" s="57" t="s">
        <v>2754</v>
      </c>
    </row>
    <row r="412" spans="1:4" s="38" customFormat="1" x14ac:dyDescent="0.3">
      <c r="A412" s="111">
        <v>42286</v>
      </c>
      <c r="B412" s="57" t="s">
        <v>1283</v>
      </c>
      <c r="C412" s="57" t="s">
        <v>2649</v>
      </c>
      <c r="D412" s="57" t="s">
        <v>2754</v>
      </c>
    </row>
    <row r="413" spans="1:4" s="38" customFormat="1" x14ac:dyDescent="0.3">
      <c r="A413" s="111">
        <v>42286</v>
      </c>
      <c r="B413" s="57" t="s">
        <v>1286</v>
      </c>
      <c r="C413" s="57" t="s">
        <v>2649</v>
      </c>
      <c r="D413" s="57" t="s">
        <v>2754</v>
      </c>
    </row>
    <row r="414" spans="1:4" s="38" customFormat="1" x14ac:dyDescent="0.3">
      <c r="A414" s="111">
        <v>42286</v>
      </c>
      <c r="B414" s="57" t="s">
        <v>2095</v>
      </c>
      <c r="C414" s="57" t="s">
        <v>2649</v>
      </c>
      <c r="D414" s="57" t="s">
        <v>2754</v>
      </c>
    </row>
    <row r="415" spans="1:4" s="38" customFormat="1" x14ac:dyDescent="0.3">
      <c r="A415" s="111">
        <v>42286</v>
      </c>
      <c r="B415" s="57" t="s">
        <v>2039</v>
      </c>
      <c r="C415" s="57" t="s">
        <v>2649</v>
      </c>
      <c r="D415" s="57" t="s">
        <v>2754</v>
      </c>
    </row>
    <row r="416" spans="1:4" s="38" customFormat="1" x14ac:dyDescent="0.3">
      <c r="A416" s="111">
        <v>42286</v>
      </c>
      <c r="B416" s="57" t="s">
        <v>2635</v>
      </c>
      <c r="C416" s="57" t="s">
        <v>2649</v>
      </c>
      <c r="D416" s="57" t="s">
        <v>2754</v>
      </c>
    </row>
    <row r="417" spans="1:4" s="38" customFormat="1" x14ac:dyDescent="0.3">
      <c r="A417" s="111">
        <v>42286</v>
      </c>
      <c r="B417" s="57" t="s">
        <v>2636</v>
      </c>
      <c r="C417" s="57" t="s">
        <v>2649</v>
      </c>
      <c r="D417" s="57" t="s">
        <v>2754</v>
      </c>
    </row>
    <row r="418" spans="1:4" s="38" customFormat="1" x14ac:dyDescent="0.3">
      <c r="A418" s="111">
        <v>42286</v>
      </c>
      <c r="B418" s="57" t="s">
        <v>2637</v>
      </c>
      <c r="C418" s="57" t="s">
        <v>2649</v>
      </c>
      <c r="D418" s="57" t="s">
        <v>2754</v>
      </c>
    </row>
    <row r="419" spans="1:4" s="38" customFormat="1" x14ac:dyDescent="0.3">
      <c r="A419" s="111">
        <v>42286</v>
      </c>
      <c r="B419" s="57" t="s">
        <v>2041</v>
      </c>
      <c r="C419" s="57" t="s">
        <v>2649</v>
      </c>
      <c r="D419" s="57" t="s">
        <v>2754</v>
      </c>
    </row>
    <row r="420" spans="1:4" s="38" customFormat="1" x14ac:dyDescent="0.3">
      <c r="A420" s="111">
        <v>42286</v>
      </c>
      <c r="B420" s="57" t="s">
        <v>2638</v>
      </c>
      <c r="C420" s="57" t="s">
        <v>2649</v>
      </c>
      <c r="D420" s="57" t="s">
        <v>2754</v>
      </c>
    </row>
    <row r="421" spans="1:4" s="38" customFormat="1" x14ac:dyDescent="0.3">
      <c r="A421" s="111">
        <v>42286</v>
      </c>
      <c r="B421" s="57" t="s">
        <v>2639</v>
      </c>
      <c r="C421" s="57" t="s">
        <v>2649</v>
      </c>
      <c r="D421" s="57" t="s">
        <v>2754</v>
      </c>
    </row>
    <row r="422" spans="1:4" s="38" customFormat="1" x14ac:dyDescent="0.3">
      <c r="A422" s="111">
        <v>42286</v>
      </c>
      <c r="B422" s="57" t="s">
        <v>2640</v>
      </c>
      <c r="C422" s="57" t="s">
        <v>2649</v>
      </c>
      <c r="D422" s="57" t="s">
        <v>2754</v>
      </c>
    </row>
    <row r="423" spans="1:4" s="38" customFormat="1" x14ac:dyDescent="0.3">
      <c r="A423" s="111">
        <v>42286</v>
      </c>
      <c r="B423" s="57" t="s">
        <v>1562</v>
      </c>
      <c r="C423" s="57" t="s">
        <v>2649</v>
      </c>
      <c r="D423" s="57" t="s">
        <v>2754</v>
      </c>
    </row>
    <row r="424" spans="1:4" s="38" customFormat="1" x14ac:dyDescent="0.3">
      <c r="A424" s="111">
        <v>42286</v>
      </c>
      <c r="B424" s="57" t="s">
        <v>1564</v>
      </c>
      <c r="C424" s="57" t="s">
        <v>2649</v>
      </c>
      <c r="D424" s="57" t="s">
        <v>2754</v>
      </c>
    </row>
    <row r="425" spans="1:4" s="38" customFormat="1" x14ac:dyDescent="0.3">
      <c r="A425" s="111">
        <v>42286</v>
      </c>
      <c r="B425" s="57" t="s">
        <v>1566</v>
      </c>
      <c r="C425" s="57" t="s">
        <v>2649</v>
      </c>
      <c r="D425" s="57" t="s">
        <v>2754</v>
      </c>
    </row>
    <row r="426" spans="1:4" s="38" customFormat="1" x14ac:dyDescent="0.3">
      <c r="A426" s="111">
        <v>42286</v>
      </c>
      <c r="B426" s="57" t="s">
        <v>1568</v>
      </c>
      <c r="C426" s="57" t="s">
        <v>2649</v>
      </c>
      <c r="D426" s="57" t="s">
        <v>2754</v>
      </c>
    </row>
    <row r="427" spans="1:4" s="38" customFormat="1" x14ac:dyDescent="0.3">
      <c r="A427" s="111">
        <v>42286</v>
      </c>
      <c r="B427" s="57" t="s">
        <v>1570</v>
      </c>
      <c r="C427" s="57" t="s">
        <v>2649</v>
      </c>
      <c r="D427" s="57" t="s">
        <v>2754</v>
      </c>
    </row>
    <row r="428" spans="1:4" s="38" customFormat="1" x14ac:dyDescent="0.3">
      <c r="A428" s="111">
        <v>42286</v>
      </c>
      <c r="B428" s="54" t="s">
        <v>2143</v>
      </c>
      <c r="C428" s="54" t="s">
        <v>2190</v>
      </c>
      <c r="D428" s="54" t="s">
        <v>2757</v>
      </c>
    </row>
    <row r="429" spans="1:4" s="38" customFormat="1" x14ac:dyDescent="0.3">
      <c r="A429" s="111">
        <v>42286</v>
      </c>
      <c r="B429" s="54" t="s">
        <v>2141</v>
      </c>
      <c r="C429" s="54" t="s">
        <v>2190</v>
      </c>
      <c r="D429" s="54" t="s">
        <v>2757</v>
      </c>
    </row>
    <row r="430" spans="1:4" s="38" customFormat="1" x14ac:dyDescent="0.3">
      <c r="A430" s="111">
        <v>42286</v>
      </c>
      <c r="B430" s="54" t="s">
        <v>2144</v>
      </c>
      <c r="C430" s="54" t="s">
        <v>2190</v>
      </c>
      <c r="D430" s="54" t="s">
        <v>2757</v>
      </c>
    </row>
    <row r="431" spans="1:4" s="38" customFormat="1" x14ac:dyDescent="0.3">
      <c r="A431" s="111">
        <v>42286</v>
      </c>
      <c r="B431" s="54" t="s">
        <v>2142</v>
      </c>
      <c r="C431" s="54" t="s">
        <v>2190</v>
      </c>
      <c r="D431" s="54" t="s">
        <v>2757</v>
      </c>
    </row>
    <row r="432" spans="1:4" s="38" customFormat="1" x14ac:dyDescent="0.3">
      <c r="A432" s="110">
        <v>42320</v>
      </c>
      <c r="B432" s="60" t="s">
        <v>428</v>
      </c>
      <c r="C432" s="61" t="s">
        <v>2101</v>
      </c>
      <c r="D432" s="61" t="s">
        <v>2786</v>
      </c>
    </row>
    <row r="433" spans="1:4" s="38" customFormat="1" x14ac:dyDescent="0.3">
      <c r="A433" s="110">
        <v>42320</v>
      </c>
      <c r="B433" s="60" t="s">
        <v>2100</v>
      </c>
      <c r="C433" s="61" t="s">
        <v>2101</v>
      </c>
      <c r="D433" s="61" t="s">
        <v>2786</v>
      </c>
    </row>
    <row r="434" spans="1:4" s="38" customFormat="1" x14ac:dyDescent="0.3">
      <c r="A434" s="110">
        <v>42320</v>
      </c>
      <c r="B434" s="60" t="s">
        <v>1210</v>
      </c>
      <c r="C434" s="61" t="s">
        <v>2101</v>
      </c>
      <c r="D434" s="61" t="s">
        <v>2786</v>
      </c>
    </row>
    <row r="435" spans="1:4" s="38" customFormat="1" x14ac:dyDescent="0.3">
      <c r="A435" s="110">
        <v>42320</v>
      </c>
      <c r="B435" s="60" t="s">
        <v>1850</v>
      </c>
      <c r="C435" s="61" t="s">
        <v>2101</v>
      </c>
      <c r="D435" s="61" t="s">
        <v>2786</v>
      </c>
    </row>
    <row r="436" spans="1:4" s="38" customFormat="1" x14ac:dyDescent="0.3">
      <c r="A436" s="107">
        <v>42354</v>
      </c>
      <c r="B436" s="64" t="s">
        <v>1434</v>
      </c>
      <c r="C436" s="63" t="s">
        <v>1436</v>
      </c>
      <c r="D436" s="63" t="s">
        <v>2808</v>
      </c>
    </row>
    <row r="437" spans="1:4" s="38" customFormat="1" x14ac:dyDescent="0.3">
      <c r="A437" s="107">
        <v>42354</v>
      </c>
      <c r="B437" s="62" t="s">
        <v>1437</v>
      </c>
      <c r="C437" s="63" t="s">
        <v>1436</v>
      </c>
      <c r="D437" s="63" t="s">
        <v>2808</v>
      </c>
    </row>
    <row r="438" spans="1:4" s="38" customFormat="1" x14ac:dyDescent="0.3">
      <c r="A438" s="107">
        <v>42354</v>
      </c>
      <c r="B438" s="64" t="s">
        <v>1439</v>
      </c>
      <c r="C438" s="63" t="s">
        <v>1436</v>
      </c>
      <c r="D438" s="63" t="s">
        <v>2808</v>
      </c>
    </row>
    <row r="439" spans="1:4" s="38" customFormat="1" x14ac:dyDescent="0.3">
      <c r="A439" s="107">
        <v>42354</v>
      </c>
      <c r="B439" s="64" t="s">
        <v>1440</v>
      </c>
      <c r="C439" s="63" t="s">
        <v>1436</v>
      </c>
      <c r="D439" s="63" t="s">
        <v>2808</v>
      </c>
    </row>
    <row r="440" spans="1:4" s="38" customFormat="1" x14ac:dyDescent="0.3">
      <c r="A440" s="107">
        <v>42354</v>
      </c>
      <c r="B440" s="62" t="s">
        <v>1441</v>
      </c>
      <c r="C440" s="63" t="s">
        <v>1436</v>
      </c>
      <c r="D440" s="63" t="s">
        <v>2808</v>
      </c>
    </row>
    <row r="441" spans="1:4" s="38" customFormat="1" x14ac:dyDescent="0.3">
      <c r="A441" s="107">
        <v>42354</v>
      </c>
      <c r="B441" s="64" t="s">
        <v>1442</v>
      </c>
      <c r="C441" s="63" t="s">
        <v>1436</v>
      </c>
      <c r="D441" s="63" t="s">
        <v>2808</v>
      </c>
    </row>
    <row r="442" spans="1:4" s="38" customFormat="1" x14ac:dyDescent="0.3">
      <c r="A442" s="107">
        <v>42354</v>
      </c>
      <c r="B442" s="62" t="s">
        <v>366</v>
      </c>
      <c r="C442" s="63" t="s">
        <v>311</v>
      </c>
      <c r="D442" s="63" t="s">
        <v>2544</v>
      </c>
    </row>
    <row r="444" spans="1:4" x14ac:dyDescent="0.3">
      <c r="A444" s="5" t="s">
        <v>3836</v>
      </c>
      <c r="B444" s="5" t="s">
        <v>2592</v>
      </c>
      <c r="C444" s="5" t="s">
        <v>374</v>
      </c>
      <c r="D444" s="5" t="s">
        <v>375</v>
      </c>
    </row>
  </sheetData>
  <conditionalFormatting sqref="B2:B13">
    <cfRule type="duplicateValues" dxfId="10" priority="15"/>
  </conditionalFormatting>
  <conditionalFormatting sqref="B2:B20">
    <cfRule type="duplicateValues" dxfId="9" priority="14"/>
  </conditionalFormatting>
  <conditionalFormatting sqref="B14:B20">
    <cfRule type="duplicateValues" dxfId="8" priority="16"/>
  </conditionalFormatting>
  <conditionalFormatting sqref="B2:B20">
    <cfRule type="duplicateValues" dxfId="7" priority="13"/>
  </conditionalFormatting>
  <conditionalFormatting sqref="B2:B20">
    <cfRule type="duplicateValues" dxfId="6" priority="12"/>
  </conditionalFormatting>
  <conditionalFormatting sqref="B2:B20">
    <cfRule type="duplicateValues" dxfId="5" priority="17"/>
  </conditionalFormatting>
  <conditionalFormatting sqref="B2:B20">
    <cfRule type="duplicateValues" dxfId="4" priority="11"/>
  </conditionalFormatting>
  <conditionalFormatting sqref="B2:B20">
    <cfRule type="duplicateValues" dxfId="3" priority="10"/>
  </conditionalFormatting>
  <conditionalFormatting sqref="B2:B13">
    <cfRule type="duplicateValues" dxfId="2" priority="18"/>
  </conditionalFormatting>
  <conditionalFormatting sqref="B2:B20">
    <cfRule type="duplicateValues" dxfId="1" priority="9"/>
  </conditionalFormatting>
  <conditionalFormatting sqref="B21:B29">
    <cfRule type="duplicateValues" dxfId="0" priority="6"/>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0244B-876E-4806-B98E-BB2B47F209BC}">
  <dimension ref="A1:F235"/>
  <sheetViews>
    <sheetView workbookViewId="0"/>
  </sheetViews>
  <sheetFormatPr defaultRowHeight="14.4" x14ac:dyDescent="0.3"/>
  <cols>
    <col min="1" max="1" width="11.6640625" style="101" customWidth="1"/>
    <col min="2" max="2" width="25.44140625" customWidth="1"/>
    <col min="3" max="4" width="91.33203125" customWidth="1"/>
    <col min="5" max="5" width="38.5546875" customWidth="1"/>
    <col min="6" max="6" width="41.88671875" customWidth="1"/>
  </cols>
  <sheetData>
    <row r="1" spans="1:6" x14ac:dyDescent="0.3">
      <c r="A1" s="5" t="s">
        <v>3836</v>
      </c>
      <c r="B1" s="4" t="str">
        <f>"Additions ("&amp;COUNTA(B2:B59)&amp;")"</f>
        <v>Additions (57)</v>
      </c>
      <c r="C1" s="5" t="s">
        <v>28</v>
      </c>
      <c r="D1" s="6" t="s">
        <v>29</v>
      </c>
      <c r="E1" s="5" t="s">
        <v>30</v>
      </c>
      <c r="F1" s="5" t="s">
        <v>31</v>
      </c>
    </row>
    <row r="2" spans="1:6" x14ac:dyDescent="0.3">
      <c r="A2" s="97">
        <v>41738</v>
      </c>
      <c r="B2" t="s">
        <v>1887</v>
      </c>
      <c r="C2" t="s">
        <v>1888</v>
      </c>
      <c r="D2" t="s">
        <v>2016</v>
      </c>
      <c r="E2" t="s">
        <v>1102</v>
      </c>
      <c r="F2" t="s">
        <v>1089</v>
      </c>
    </row>
    <row r="3" spans="1:6" x14ac:dyDescent="0.3">
      <c r="A3" s="97">
        <v>41738</v>
      </c>
      <c r="B3" t="s">
        <v>1972</v>
      </c>
      <c r="C3" t="s">
        <v>1973</v>
      </c>
      <c r="D3" s="7" t="s">
        <v>2029</v>
      </c>
      <c r="E3" t="s">
        <v>413</v>
      </c>
      <c r="F3" t="s">
        <v>2012</v>
      </c>
    </row>
    <row r="4" spans="1:6" x14ac:dyDescent="0.3">
      <c r="A4" s="97">
        <v>41738</v>
      </c>
      <c r="B4" t="s">
        <v>1974</v>
      </c>
      <c r="C4" t="s">
        <v>1975</v>
      </c>
      <c r="D4" s="7" t="s">
        <v>2029</v>
      </c>
      <c r="E4" t="s">
        <v>413</v>
      </c>
      <c r="F4" t="s">
        <v>2012</v>
      </c>
    </row>
    <row r="5" spans="1:6" x14ac:dyDescent="0.3">
      <c r="A5" s="97">
        <v>41738</v>
      </c>
      <c r="B5" t="s">
        <v>1976</v>
      </c>
      <c r="C5" t="s">
        <v>1977</v>
      </c>
      <c r="D5" s="7" t="s">
        <v>2029</v>
      </c>
      <c r="E5" t="s">
        <v>413</v>
      </c>
      <c r="F5" t="s">
        <v>2012</v>
      </c>
    </row>
    <row r="6" spans="1:6" x14ac:dyDescent="0.3">
      <c r="A6" s="97">
        <v>41738</v>
      </c>
      <c r="B6" t="s">
        <v>1966</v>
      </c>
      <c r="C6" t="s">
        <v>1967</v>
      </c>
      <c r="D6" t="s">
        <v>2019</v>
      </c>
      <c r="E6" t="s">
        <v>2028</v>
      </c>
      <c r="F6" t="s">
        <v>46</v>
      </c>
    </row>
    <row r="7" spans="1:6" x14ac:dyDescent="0.3">
      <c r="A7" s="97">
        <v>41738</v>
      </c>
      <c r="B7" t="s">
        <v>1968</v>
      </c>
      <c r="C7" t="s">
        <v>1969</v>
      </c>
      <c r="D7" t="s">
        <v>2020</v>
      </c>
      <c r="E7" t="s">
        <v>2028</v>
      </c>
      <c r="F7" t="s">
        <v>46</v>
      </c>
    </row>
    <row r="8" spans="1:6" x14ac:dyDescent="0.3">
      <c r="A8" s="97">
        <v>41738</v>
      </c>
      <c r="B8" t="s">
        <v>1978</v>
      </c>
      <c r="C8" t="s">
        <v>1979</v>
      </c>
      <c r="D8" t="s">
        <v>2021</v>
      </c>
      <c r="E8" t="s">
        <v>2028</v>
      </c>
      <c r="F8" t="s">
        <v>46</v>
      </c>
    </row>
    <row r="9" spans="1:6" x14ac:dyDescent="0.3">
      <c r="A9" s="97">
        <v>41738</v>
      </c>
      <c r="B9" t="s">
        <v>1980</v>
      </c>
      <c r="C9" t="s">
        <v>1981</v>
      </c>
      <c r="D9" t="s">
        <v>2022</v>
      </c>
      <c r="E9" t="s">
        <v>2028</v>
      </c>
      <c r="F9" t="s">
        <v>46</v>
      </c>
    </row>
    <row r="10" spans="1:6" x14ac:dyDescent="0.3">
      <c r="A10" s="97">
        <v>41738</v>
      </c>
      <c r="B10" t="s">
        <v>1964</v>
      </c>
      <c r="C10" t="s">
        <v>1965</v>
      </c>
      <c r="D10" t="s">
        <v>2023</v>
      </c>
      <c r="E10" t="s">
        <v>2028</v>
      </c>
      <c r="F10" t="s">
        <v>46</v>
      </c>
    </row>
    <row r="11" spans="1:6" x14ac:dyDescent="0.3">
      <c r="A11" s="97">
        <v>41738</v>
      </c>
      <c r="B11" t="s">
        <v>1970</v>
      </c>
      <c r="C11" t="s">
        <v>1971</v>
      </c>
      <c r="D11" t="s">
        <v>2024</v>
      </c>
      <c r="E11" t="s">
        <v>2028</v>
      </c>
      <c r="F11" t="s">
        <v>46</v>
      </c>
    </row>
    <row r="12" spans="1:6" x14ac:dyDescent="0.3">
      <c r="A12" s="97">
        <v>41738</v>
      </c>
      <c r="B12" t="s">
        <v>1883</v>
      </c>
      <c r="C12" t="s">
        <v>1884</v>
      </c>
      <c r="D12" t="s">
        <v>2025</v>
      </c>
      <c r="E12" t="s">
        <v>1856</v>
      </c>
      <c r="F12" t="s">
        <v>41</v>
      </c>
    </row>
    <row r="13" spans="1:6" x14ac:dyDescent="0.3">
      <c r="A13" s="97">
        <v>41738</v>
      </c>
      <c r="B13" t="s">
        <v>1885</v>
      </c>
      <c r="C13" t="s">
        <v>1886</v>
      </c>
      <c r="D13" t="s">
        <v>2025</v>
      </c>
      <c r="E13" t="s">
        <v>1856</v>
      </c>
      <c r="F13" t="s">
        <v>41</v>
      </c>
    </row>
    <row r="14" spans="1:6" x14ac:dyDescent="0.3">
      <c r="A14" s="97">
        <v>41738</v>
      </c>
      <c r="B14" t="s">
        <v>1881</v>
      </c>
      <c r="C14" t="s">
        <v>1882</v>
      </c>
      <c r="D14" t="s">
        <v>2025</v>
      </c>
      <c r="E14" t="s">
        <v>1857</v>
      </c>
      <c r="F14" t="s">
        <v>41</v>
      </c>
    </row>
    <row r="15" spans="1:6" x14ac:dyDescent="0.3">
      <c r="A15" s="97">
        <v>41738</v>
      </c>
      <c r="B15" t="s">
        <v>1982</v>
      </c>
      <c r="C15" t="s">
        <v>1983</v>
      </c>
      <c r="D15" t="s">
        <v>2026</v>
      </c>
      <c r="E15" t="s">
        <v>436</v>
      </c>
      <c r="F15" t="s">
        <v>2013</v>
      </c>
    </row>
    <row r="16" spans="1:6" x14ac:dyDescent="0.3">
      <c r="A16" s="97">
        <v>41738</v>
      </c>
      <c r="B16" t="s">
        <v>1984</v>
      </c>
      <c r="C16" t="s">
        <v>1985</v>
      </c>
      <c r="D16" t="s">
        <v>2026</v>
      </c>
      <c r="E16" t="s">
        <v>436</v>
      </c>
      <c r="F16" t="s">
        <v>2013</v>
      </c>
    </row>
    <row r="17" spans="1:6" x14ac:dyDescent="0.3">
      <c r="A17" s="97">
        <v>41738</v>
      </c>
      <c r="B17" t="s">
        <v>1986</v>
      </c>
      <c r="C17" t="s">
        <v>1987</v>
      </c>
      <c r="D17" t="s">
        <v>2026</v>
      </c>
      <c r="E17" t="s">
        <v>436</v>
      </c>
      <c r="F17" t="s">
        <v>2013</v>
      </c>
    </row>
    <row r="18" spans="1:6" x14ac:dyDescent="0.3">
      <c r="A18" s="97">
        <v>41738</v>
      </c>
      <c r="B18" t="s">
        <v>1988</v>
      </c>
      <c r="C18" t="s">
        <v>1989</v>
      </c>
      <c r="D18" t="s">
        <v>2027</v>
      </c>
      <c r="E18" t="s">
        <v>436</v>
      </c>
      <c r="F18" t="s">
        <v>2013</v>
      </c>
    </row>
    <row r="19" spans="1:6" x14ac:dyDescent="0.3">
      <c r="A19" s="97">
        <v>41738</v>
      </c>
      <c r="B19" t="s">
        <v>1990</v>
      </c>
      <c r="C19" t="s">
        <v>1991</v>
      </c>
      <c r="D19" t="s">
        <v>2027</v>
      </c>
      <c r="E19" t="s">
        <v>436</v>
      </c>
      <c r="F19" t="s">
        <v>2013</v>
      </c>
    </row>
    <row r="20" spans="1:6" x14ac:dyDescent="0.3">
      <c r="A20" s="97">
        <v>41738</v>
      </c>
      <c r="B20" t="s">
        <v>1992</v>
      </c>
      <c r="C20" t="s">
        <v>1993</v>
      </c>
      <c r="D20" t="s">
        <v>2027</v>
      </c>
      <c r="E20" t="s">
        <v>436</v>
      </c>
      <c r="F20" t="s">
        <v>2013</v>
      </c>
    </row>
    <row r="21" spans="1:6" x14ac:dyDescent="0.3">
      <c r="A21" s="97">
        <v>41738</v>
      </c>
      <c r="B21" t="s">
        <v>1932</v>
      </c>
      <c r="C21" t="s">
        <v>1933</v>
      </c>
      <c r="D21" t="s">
        <v>435</v>
      </c>
      <c r="E21" t="s">
        <v>436</v>
      </c>
      <c r="F21" t="s">
        <v>2014</v>
      </c>
    </row>
    <row r="22" spans="1:6" x14ac:dyDescent="0.3">
      <c r="A22" s="97">
        <v>41738</v>
      </c>
      <c r="B22" t="s">
        <v>1934</v>
      </c>
      <c r="C22" t="s">
        <v>1935</v>
      </c>
      <c r="D22" t="s">
        <v>435</v>
      </c>
      <c r="E22" t="s">
        <v>436</v>
      </c>
      <c r="F22" t="s">
        <v>2014</v>
      </c>
    </row>
    <row r="23" spans="1:6" x14ac:dyDescent="0.3">
      <c r="A23" s="97">
        <v>41738</v>
      </c>
      <c r="B23" t="s">
        <v>1936</v>
      </c>
      <c r="C23" t="s">
        <v>1937</v>
      </c>
      <c r="D23" t="s">
        <v>435</v>
      </c>
      <c r="E23" t="s">
        <v>436</v>
      </c>
      <c r="F23" t="s">
        <v>2014</v>
      </c>
    </row>
    <row r="24" spans="1:6" x14ac:dyDescent="0.3">
      <c r="A24" s="97">
        <v>41738</v>
      </c>
      <c r="B24" t="s">
        <v>1938</v>
      </c>
      <c r="C24" t="s">
        <v>1939</v>
      </c>
      <c r="D24" t="s">
        <v>451</v>
      </c>
      <c r="E24" t="s">
        <v>436</v>
      </c>
      <c r="F24" t="s">
        <v>2014</v>
      </c>
    </row>
    <row r="25" spans="1:6" x14ac:dyDescent="0.3">
      <c r="A25" s="97">
        <v>41738</v>
      </c>
      <c r="B25" t="s">
        <v>1940</v>
      </c>
      <c r="C25" t="s">
        <v>1941</v>
      </c>
      <c r="D25" t="s">
        <v>451</v>
      </c>
      <c r="E25" t="s">
        <v>436</v>
      </c>
      <c r="F25" t="s">
        <v>2014</v>
      </c>
    </row>
    <row r="26" spans="1:6" x14ac:dyDescent="0.3">
      <c r="A26" s="97">
        <v>41738</v>
      </c>
      <c r="B26" t="s">
        <v>1942</v>
      </c>
      <c r="C26" t="s">
        <v>1943</v>
      </c>
      <c r="D26" t="s">
        <v>451</v>
      </c>
      <c r="E26" t="s">
        <v>436</v>
      </c>
      <c r="F26" t="s">
        <v>2014</v>
      </c>
    </row>
    <row r="27" spans="1:6" x14ac:dyDescent="0.3">
      <c r="A27" s="97">
        <v>41738</v>
      </c>
      <c r="B27" t="s">
        <v>1944</v>
      </c>
      <c r="C27" t="s">
        <v>1945</v>
      </c>
      <c r="D27" t="s">
        <v>451</v>
      </c>
      <c r="E27" t="s">
        <v>436</v>
      </c>
      <c r="F27" t="s">
        <v>2014</v>
      </c>
    </row>
    <row r="28" spans="1:6" x14ac:dyDescent="0.3">
      <c r="A28" s="97">
        <v>41738</v>
      </c>
      <c r="B28" t="s">
        <v>1920</v>
      </c>
      <c r="C28" t="s">
        <v>1921</v>
      </c>
      <c r="D28" t="s">
        <v>1995</v>
      </c>
      <c r="E28" t="s">
        <v>436</v>
      </c>
      <c r="F28" t="s">
        <v>2015</v>
      </c>
    </row>
    <row r="29" spans="1:6" x14ac:dyDescent="0.3">
      <c r="A29" s="97">
        <v>41738</v>
      </c>
      <c r="B29" t="s">
        <v>1922</v>
      </c>
      <c r="C29" t="s">
        <v>1923</v>
      </c>
      <c r="D29" t="s">
        <v>1995</v>
      </c>
      <c r="E29" t="s">
        <v>436</v>
      </c>
      <c r="F29" t="s">
        <v>2015</v>
      </c>
    </row>
    <row r="30" spans="1:6" x14ac:dyDescent="0.3">
      <c r="A30" s="97">
        <v>41738</v>
      </c>
      <c r="B30" t="s">
        <v>1924</v>
      </c>
      <c r="C30" t="s">
        <v>1925</v>
      </c>
      <c r="D30" t="s">
        <v>1995</v>
      </c>
      <c r="E30" t="s">
        <v>436</v>
      </c>
      <c r="F30" t="s">
        <v>2015</v>
      </c>
    </row>
    <row r="31" spans="1:6" x14ac:dyDescent="0.3">
      <c r="A31" s="97">
        <v>41738</v>
      </c>
      <c r="B31" t="s">
        <v>1926</v>
      </c>
      <c r="C31" t="s">
        <v>1927</v>
      </c>
      <c r="D31" t="s">
        <v>1994</v>
      </c>
      <c r="E31" t="s">
        <v>436</v>
      </c>
      <c r="F31" t="s">
        <v>2015</v>
      </c>
    </row>
    <row r="32" spans="1:6" x14ac:dyDescent="0.3">
      <c r="A32" s="97">
        <v>41738</v>
      </c>
      <c r="B32" t="s">
        <v>1928</v>
      </c>
      <c r="C32" t="s">
        <v>1929</v>
      </c>
      <c r="D32" t="s">
        <v>1994</v>
      </c>
      <c r="E32" t="s">
        <v>436</v>
      </c>
      <c r="F32" t="s">
        <v>2015</v>
      </c>
    </row>
    <row r="33" spans="1:6" x14ac:dyDescent="0.3">
      <c r="A33" s="97">
        <v>41738</v>
      </c>
      <c r="B33" t="s">
        <v>1930</v>
      </c>
      <c r="C33" t="s">
        <v>1931</v>
      </c>
      <c r="D33" t="s">
        <v>1994</v>
      </c>
      <c r="E33" t="s">
        <v>436</v>
      </c>
      <c r="F33" t="s">
        <v>2015</v>
      </c>
    </row>
    <row r="34" spans="1:6" x14ac:dyDescent="0.3">
      <c r="A34" s="105">
        <v>41765</v>
      </c>
      <c r="B34" s="21" t="s">
        <v>2069</v>
      </c>
      <c r="C34" s="21" t="s">
        <v>2070</v>
      </c>
      <c r="D34" s="21" t="s">
        <v>2098</v>
      </c>
      <c r="E34" s="21" t="s">
        <v>1545</v>
      </c>
      <c r="F34" s="21" t="s">
        <v>1546</v>
      </c>
    </row>
    <row r="35" spans="1:6" x14ac:dyDescent="0.3">
      <c r="A35" s="105">
        <v>41765</v>
      </c>
      <c r="B35" s="21" t="s">
        <v>2071</v>
      </c>
      <c r="C35" s="21" t="s">
        <v>2072</v>
      </c>
      <c r="D35" s="21" t="s">
        <v>2099</v>
      </c>
      <c r="E35" s="21" t="s">
        <v>1545</v>
      </c>
      <c r="F35" s="21" t="s">
        <v>1546</v>
      </c>
    </row>
    <row r="36" spans="1:6" s="7" customFormat="1" x14ac:dyDescent="0.3">
      <c r="A36" s="109">
        <v>41821</v>
      </c>
      <c r="B36" s="22" t="s">
        <v>2109</v>
      </c>
      <c r="C36" s="22" t="s">
        <v>2112</v>
      </c>
      <c r="D36" s="22" t="s">
        <v>1156</v>
      </c>
      <c r="E36" s="22" t="s">
        <v>1479</v>
      </c>
      <c r="F36" s="22" t="s">
        <v>1153</v>
      </c>
    </row>
    <row r="37" spans="1:6" s="7" customFormat="1" x14ac:dyDescent="0.3">
      <c r="A37" s="109">
        <v>41821</v>
      </c>
      <c r="B37" s="22" t="s">
        <v>2110</v>
      </c>
      <c r="C37" s="22" t="s">
        <v>2113</v>
      </c>
      <c r="D37" s="22" t="s">
        <v>1156</v>
      </c>
      <c r="E37" s="22" t="s">
        <v>1479</v>
      </c>
      <c r="F37" s="22" t="s">
        <v>1153</v>
      </c>
    </row>
    <row r="38" spans="1:6" s="7" customFormat="1" x14ac:dyDescent="0.3">
      <c r="A38" s="109">
        <v>41821</v>
      </c>
      <c r="B38" s="22" t="s">
        <v>2111</v>
      </c>
      <c r="C38" s="22" t="s">
        <v>2114</v>
      </c>
      <c r="D38" s="22" t="s">
        <v>1156</v>
      </c>
      <c r="E38" s="22" t="s">
        <v>1479</v>
      </c>
      <c r="F38" s="22" t="s">
        <v>1153</v>
      </c>
    </row>
    <row r="39" spans="1:6" s="7" customFormat="1" x14ac:dyDescent="0.3">
      <c r="A39" s="102">
        <v>41898</v>
      </c>
      <c r="B39" s="20" t="s">
        <v>2131</v>
      </c>
      <c r="C39" s="20" t="s">
        <v>2132</v>
      </c>
      <c r="D39" s="32" t="s">
        <v>2133</v>
      </c>
      <c r="E39" s="20" t="s">
        <v>2116</v>
      </c>
      <c r="F39" s="20" t="s">
        <v>41</v>
      </c>
    </row>
    <row r="40" spans="1:6" s="7" customFormat="1" x14ac:dyDescent="0.3">
      <c r="A40" s="114">
        <v>41920</v>
      </c>
      <c r="B40" s="33" t="s">
        <v>2141</v>
      </c>
      <c r="C40" s="33" t="s">
        <v>2145</v>
      </c>
      <c r="D40" s="34" t="s">
        <v>2169</v>
      </c>
      <c r="E40" s="33" t="s">
        <v>2151</v>
      </c>
      <c r="F40" s="33" t="s">
        <v>2152</v>
      </c>
    </row>
    <row r="41" spans="1:6" s="7" customFormat="1" x14ac:dyDescent="0.3">
      <c r="A41" s="114">
        <v>41920</v>
      </c>
      <c r="B41" s="33" t="s">
        <v>2142</v>
      </c>
      <c r="C41" s="33" t="s">
        <v>2146</v>
      </c>
      <c r="D41" s="34" t="s">
        <v>2170</v>
      </c>
      <c r="E41" s="33" t="s">
        <v>2151</v>
      </c>
      <c r="F41" s="33" t="s">
        <v>2152</v>
      </c>
    </row>
    <row r="42" spans="1:6" s="7" customFormat="1" x14ac:dyDescent="0.3">
      <c r="A42" s="114">
        <v>41920</v>
      </c>
      <c r="B42" s="33" t="s">
        <v>2143</v>
      </c>
      <c r="C42" s="33" t="s">
        <v>2147</v>
      </c>
      <c r="D42" s="34" t="s">
        <v>2149</v>
      </c>
      <c r="E42" s="33" t="s">
        <v>2151</v>
      </c>
      <c r="F42" s="33" t="s">
        <v>2152</v>
      </c>
    </row>
    <row r="43" spans="1:6" s="7" customFormat="1" x14ac:dyDescent="0.3">
      <c r="A43" s="114">
        <v>41920</v>
      </c>
      <c r="B43" s="33" t="s">
        <v>2144</v>
      </c>
      <c r="C43" s="33" t="s">
        <v>2148</v>
      </c>
      <c r="D43" s="34" t="s">
        <v>2150</v>
      </c>
      <c r="E43" s="33" t="s">
        <v>2151</v>
      </c>
      <c r="F43" s="33" t="s">
        <v>2152</v>
      </c>
    </row>
    <row r="44" spans="1:6" s="7" customFormat="1" x14ac:dyDescent="0.3">
      <c r="A44" s="113">
        <v>41949</v>
      </c>
      <c r="B44" s="35" t="s">
        <v>2411</v>
      </c>
      <c r="C44" s="35" t="s">
        <v>2172</v>
      </c>
      <c r="D44" s="36" t="s">
        <v>2210</v>
      </c>
      <c r="E44" s="35" t="s">
        <v>409</v>
      </c>
      <c r="F44" s="35" t="s">
        <v>38</v>
      </c>
    </row>
    <row r="45" spans="1:6" s="7" customFormat="1" x14ac:dyDescent="0.3">
      <c r="A45" s="105">
        <v>41989</v>
      </c>
      <c r="B45" s="21" t="s">
        <v>2212</v>
      </c>
      <c r="C45" s="21" t="s">
        <v>2213</v>
      </c>
      <c r="D45" s="30" t="s">
        <v>2268</v>
      </c>
      <c r="E45" s="30" t="s">
        <v>2290</v>
      </c>
      <c r="F45" s="21" t="s">
        <v>419</v>
      </c>
    </row>
    <row r="46" spans="1:6" s="7" customFormat="1" x14ac:dyDescent="0.3">
      <c r="A46" s="105">
        <v>41989</v>
      </c>
      <c r="B46" s="21" t="s">
        <v>2214</v>
      </c>
      <c r="C46" s="21" t="s">
        <v>2215</v>
      </c>
      <c r="D46" s="30" t="s">
        <v>2269</v>
      </c>
      <c r="E46" s="30" t="s">
        <v>2290</v>
      </c>
      <c r="F46" s="21" t="s">
        <v>419</v>
      </c>
    </row>
    <row r="47" spans="1:6" s="7" customFormat="1" x14ac:dyDescent="0.3">
      <c r="A47" s="105">
        <v>41989</v>
      </c>
      <c r="B47" s="21" t="s">
        <v>2216</v>
      </c>
      <c r="C47" s="21" t="s">
        <v>2217</v>
      </c>
      <c r="D47" s="30" t="s">
        <v>2270</v>
      </c>
      <c r="E47" s="30" t="s">
        <v>2290</v>
      </c>
      <c r="F47" s="21" t="s">
        <v>419</v>
      </c>
    </row>
    <row r="48" spans="1:6" s="7" customFormat="1" x14ac:dyDescent="0.3">
      <c r="A48" s="105">
        <v>41989</v>
      </c>
      <c r="B48" s="21" t="s">
        <v>2218</v>
      </c>
      <c r="C48" s="21" t="s">
        <v>2219</v>
      </c>
      <c r="D48" s="30" t="s">
        <v>2271</v>
      </c>
      <c r="E48" s="30" t="s">
        <v>2290</v>
      </c>
      <c r="F48" s="21" t="s">
        <v>419</v>
      </c>
    </row>
    <row r="49" spans="1:6" s="7" customFormat="1" x14ac:dyDescent="0.3">
      <c r="A49" s="105">
        <v>41989</v>
      </c>
      <c r="B49" s="21" t="s">
        <v>2249</v>
      </c>
      <c r="C49" s="21" t="s">
        <v>2250</v>
      </c>
      <c r="D49" s="30" t="s">
        <v>2265</v>
      </c>
      <c r="E49" s="21" t="s">
        <v>2266</v>
      </c>
      <c r="F49" s="21" t="s">
        <v>385</v>
      </c>
    </row>
    <row r="50" spans="1:6" s="7" customFormat="1" x14ac:dyDescent="0.3">
      <c r="A50" s="105">
        <v>41989</v>
      </c>
      <c r="B50" s="21" t="s">
        <v>2251</v>
      </c>
      <c r="C50" s="21" t="s">
        <v>2252</v>
      </c>
      <c r="D50" s="30" t="s">
        <v>2267</v>
      </c>
      <c r="E50" s="21" t="s">
        <v>2266</v>
      </c>
      <c r="F50" s="21" t="s">
        <v>385</v>
      </c>
    </row>
    <row r="51" spans="1:6" s="7" customFormat="1" x14ac:dyDescent="0.3">
      <c r="A51" s="105">
        <v>41989</v>
      </c>
      <c r="B51" s="21" t="s">
        <v>2272</v>
      </c>
      <c r="C51" s="21" t="s">
        <v>2275</v>
      </c>
      <c r="D51" s="30" t="s">
        <v>2291</v>
      </c>
      <c r="E51" s="21" t="s">
        <v>436</v>
      </c>
      <c r="F51" s="21" t="s">
        <v>2015</v>
      </c>
    </row>
    <row r="52" spans="1:6" s="7" customFormat="1" x14ac:dyDescent="0.3">
      <c r="A52" s="105">
        <v>41989</v>
      </c>
      <c r="B52" s="21" t="s">
        <v>2273</v>
      </c>
      <c r="C52" s="21" t="s">
        <v>2276</v>
      </c>
      <c r="D52" s="30" t="s">
        <v>2291</v>
      </c>
      <c r="E52" s="21" t="s">
        <v>436</v>
      </c>
      <c r="F52" s="21" t="s">
        <v>2015</v>
      </c>
    </row>
    <row r="53" spans="1:6" s="7" customFormat="1" x14ac:dyDescent="0.3">
      <c r="A53" s="105">
        <v>41989</v>
      </c>
      <c r="B53" s="21" t="s">
        <v>2274</v>
      </c>
      <c r="C53" s="21" t="s">
        <v>2277</v>
      </c>
      <c r="D53" s="30" t="s">
        <v>2291</v>
      </c>
      <c r="E53" s="21" t="s">
        <v>436</v>
      </c>
      <c r="F53" s="21" t="s">
        <v>2015</v>
      </c>
    </row>
    <row r="54" spans="1:6" s="7" customFormat="1" x14ac:dyDescent="0.3">
      <c r="A54" s="105">
        <v>41989</v>
      </c>
      <c r="B54" s="21" t="s">
        <v>2292</v>
      </c>
      <c r="C54" s="21" t="s">
        <v>2297</v>
      </c>
      <c r="D54" s="30" t="s">
        <v>2304</v>
      </c>
      <c r="E54" s="30" t="s">
        <v>2301</v>
      </c>
      <c r="F54" s="30" t="s">
        <v>1034</v>
      </c>
    </row>
    <row r="55" spans="1:6" s="7" customFormat="1" x14ac:dyDescent="0.3">
      <c r="A55" s="105">
        <v>41989</v>
      </c>
      <c r="B55" s="21" t="s">
        <v>2293</v>
      </c>
      <c r="C55" s="21" t="s">
        <v>2298</v>
      </c>
      <c r="D55" s="30" t="s">
        <v>2303</v>
      </c>
      <c r="E55" s="30" t="s">
        <v>2299</v>
      </c>
      <c r="F55" s="30" t="s">
        <v>1034</v>
      </c>
    </row>
    <row r="56" spans="1:6" s="7" customFormat="1" x14ac:dyDescent="0.3">
      <c r="A56" s="105">
        <v>41989</v>
      </c>
      <c r="B56" s="21" t="s">
        <v>2294</v>
      </c>
      <c r="C56" s="21" t="s">
        <v>2308</v>
      </c>
      <c r="D56" s="30" t="s">
        <v>2305</v>
      </c>
      <c r="E56" s="30" t="s">
        <v>2300</v>
      </c>
      <c r="F56" s="30" t="s">
        <v>1034</v>
      </c>
    </row>
    <row r="57" spans="1:6" s="7" customFormat="1" x14ac:dyDescent="0.3">
      <c r="A57" s="105">
        <v>41989</v>
      </c>
      <c r="B57" s="21" t="s">
        <v>2295</v>
      </c>
      <c r="C57" s="21" t="s">
        <v>2309</v>
      </c>
      <c r="D57" s="30" t="s">
        <v>2306</v>
      </c>
      <c r="E57" s="30" t="s">
        <v>2300</v>
      </c>
      <c r="F57" s="30" t="s">
        <v>1034</v>
      </c>
    </row>
    <row r="58" spans="1:6" s="7" customFormat="1" x14ac:dyDescent="0.3">
      <c r="A58" s="105">
        <v>41989</v>
      </c>
      <c r="B58" s="21" t="s">
        <v>2296</v>
      </c>
      <c r="C58" s="21" t="s">
        <v>2310</v>
      </c>
      <c r="D58" s="30" t="s">
        <v>2307</v>
      </c>
      <c r="E58" s="30" t="s">
        <v>2300</v>
      </c>
      <c r="F58" s="30" t="s">
        <v>1034</v>
      </c>
    </row>
    <row r="60" spans="1:6" x14ac:dyDescent="0.3">
      <c r="A60" s="5" t="s">
        <v>3836</v>
      </c>
      <c r="B60" s="6" t="str">
        <f>"Deletions ("&amp;COUNTA(B61:B73)&amp;")"</f>
        <v>Deletions (12)</v>
      </c>
      <c r="C60" s="5" t="s">
        <v>28</v>
      </c>
      <c r="D60" s="8"/>
      <c r="E60" s="7"/>
    </row>
    <row r="61" spans="1:6" s="28" customFormat="1" x14ac:dyDescent="0.3">
      <c r="A61" s="105">
        <v>41989</v>
      </c>
      <c r="B61" s="21" t="s">
        <v>1443</v>
      </c>
      <c r="C61" s="21" t="s">
        <v>2221</v>
      </c>
      <c r="D61" s="37"/>
      <c r="E61" s="38"/>
    </row>
    <row r="62" spans="1:6" s="28" customFormat="1" x14ac:dyDescent="0.3">
      <c r="A62" s="105">
        <v>41989</v>
      </c>
      <c r="B62" s="21" t="s">
        <v>1446</v>
      </c>
      <c r="C62" s="21" t="s">
        <v>2222</v>
      </c>
      <c r="D62" s="37"/>
      <c r="E62" s="38"/>
    </row>
    <row r="63" spans="1:6" s="28" customFormat="1" x14ac:dyDescent="0.3">
      <c r="A63" s="105">
        <v>41989</v>
      </c>
      <c r="B63" s="21" t="s">
        <v>1447</v>
      </c>
      <c r="C63" s="21" t="s">
        <v>2223</v>
      </c>
      <c r="D63" s="37"/>
      <c r="E63" s="38"/>
    </row>
    <row r="64" spans="1:6" s="28" customFormat="1" x14ac:dyDescent="0.3">
      <c r="A64" s="105">
        <v>41989</v>
      </c>
      <c r="B64" s="21" t="s">
        <v>1448</v>
      </c>
      <c r="C64" s="21" t="s">
        <v>2224</v>
      </c>
      <c r="D64" s="37"/>
      <c r="E64" s="38"/>
    </row>
    <row r="65" spans="1:5" s="28" customFormat="1" x14ac:dyDescent="0.3">
      <c r="A65" s="105">
        <v>41989</v>
      </c>
      <c r="B65" s="21" t="s">
        <v>1449</v>
      </c>
      <c r="C65" s="21" t="s">
        <v>2225</v>
      </c>
      <c r="D65" s="37"/>
      <c r="E65" s="38"/>
    </row>
    <row r="66" spans="1:5" s="28" customFormat="1" x14ac:dyDescent="0.3">
      <c r="A66" s="105">
        <v>41989</v>
      </c>
      <c r="B66" s="21" t="s">
        <v>1450</v>
      </c>
      <c r="C66" s="21" t="s">
        <v>2226</v>
      </c>
      <c r="D66" s="37"/>
      <c r="E66" s="38"/>
    </row>
    <row r="67" spans="1:5" s="28" customFormat="1" x14ac:dyDescent="0.3">
      <c r="A67" s="105">
        <v>41989</v>
      </c>
      <c r="B67" s="21" t="s">
        <v>1451</v>
      </c>
      <c r="C67" s="21" t="s">
        <v>2227</v>
      </c>
      <c r="D67" s="37"/>
      <c r="E67" s="38"/>
    </row>
    <row r="68" spans="1:5" s="28" customFormat="1" x14ac:dyDescent="0.3">
      <c r="A68" s="105">
        <v>41989</v>
      </c>
      <c r="B68" s="21" t="s">
        <v>1452</v>
      </c>
      <c r="C68" s="21" t="s">
        <v>2228</v>
      </c>
      <c r="D68" s="37"/>
      <c r="E68" s="38"/>
    </row>
    <row r="69" spans="1:5" s="28" customFormat="1" x14ac:dyDescent="0.3">
      <c r="A69" s="105">
        <v>41989</v>
      </c>
      <c r="B69" s="21" t="s">
        <v>1453</v>
      </c>
      <c r="C69" s="21" t="s">
        <v>2229</v>
      </c>
      <c r="D69" s="37"/>
      <c r="E69" s="38"/>
    </row>
    <row r="70" spans="1:5" s="28" customFormat="1" x14ac:dyDescent="0.3">
      <c r="A70" s="105">
        <v>41989</v>
      </c>
      <c r="B70" s="21" t="s">
        <v>2220</v>
      </c>
      <c r="C70" s="21" t="s">
        <v>2230</v>
      </c>
      <c r="D70" s="37"/>
      <c r="E70" s="38"/>
    </row>
    <row r="71" spans="1:5" s="28" customFormat="1" x14ac:dyDescent="0.3">
      <c r="A71" s="105">
        <v>41989</v>
      </c>
      <c r="B71" s="21" t="s">
        <v>2253</v>
      </c>
      <c r="C71" s="21" t="s">
        <v>2254</v>
      </c>
      <c r="D71" s="37"/>
      <c r="E71" s="38"/>
    </row>
    <row r="72" spans="1:5" s="28" customFormat="1" x14ac:dyDescent="0.3">
      <c r="A72" s="105">
        <v>41989</v>
      </c>
      <c r="B72" s="21" t="s">
        <v>2231</v>
      </c>
      <c r="C72" s="21" t="s">
        <v>2232</v>
      </c>
      <c r="D72" s="37"/>
      <c r="E72" s="38"/>
    </row>
    <row r="74" spans="1:5" x14ac:dyDescent="0.3">
      <c r="A74" s="5" t="s">
        <v>3836</v>
      </c>
      <c r="B74" s="6" t="str">
        <f>"Change in code ("&amp;COUNTA(B75:B87)&amp;")"</f>
        <v>Change in code (12)</v>
      </c>
      <c r="C74" s="6" t="s">
        <v>28</v>
      </c>
      <c r="D74" s="6" t="s">
        <v>114</v>
      </c>
    </row>
    <row r="75" spans="1:5" x14ac:dyDescent="0.3">
      <c r="A75" s="105">
        <v>41989</v>
      </c>
      <c r="B75" s="21" t="s">
        <v>1806</v>
      </c>
      <c r="C75" s="21" t="s">
        <v>1807</v>
      </c>
      <c r="D75" s="21" t="s">
        <v>2233</v>
      </c>
    </row>
    <row r="76" spans="1:5" x14ac:dyDescent="0.3">
      <c r="A76" s="105">
        <v>41989</v>
      </c>
      <c r="B76" s="21" t="s">
        <v>1808</v>
      </c>
      <c r="C76" s="21" t="s">
        <v>1809</v>
      </c>
      <c r="D76" s="21" t="s">
        <v>2234</v>
      </c>
    </row>
    <row r="77" spans="1:5" x14ac:dyDescent="0.3">
      <c r="A77" s="105">
        <v>41989</v>
      </c>
      <c r="B77" s="21" t="s">
        <v>1810</v>
      </c>
      <c r="C77" s="21" t="s">
        <v>1811</v>
      </c>
      <c r="D77" s="21" t="s">
        <v>2235</v>
      </c>
    </row>
    <row r="78" spans="1:5" x14ac:dyDescent="0.3">
      <c r="A78" s="105">
        <v>41989</v>
      </c>
      <c r="B78" s="21" t="s">
        <v>1812</v>
      </c>
      <c r="C78" s="21" t="s">
        <v>1813</v>
      </c>
      <c r="D78" s="21" t="s">
        <v>2236</v>
      </c>
    </row>
    <row r="79" spans="1:5" x14ac:dyDescent="0.3">
      <c r="A79" s="105">
        <v>41989</v>
      </c>
      <c r="B79" s="21" t="s">
        <v>1814</v>
      </c>
      <c r="C79" s="21" t="s">
        <v>1815</v>
      </c>
      <c r="D79" s="21" t="s">
        <v>2237</v>
      </c>
    </row>
    <row r="80" spans="1:5" x14ac:dyDescent="0.3">
      <c r="A80" s="105">
        <v>41989</v>
      </c>
      <c r="B80" s="21" t="s">
        <v>1816</v>
      </c>
      <c r="C80" s="21" t="s">
        <v>1817</v>
      </c>
      <c r="D80" s="21" t="s">
        <v>2238</v>
      </c>
    </row>
    <row r="81" spans="1:4" x14ac:dyDescent="0.3">
      <c r="A81" s="105">
        <v>41989</v>
      </c>
      <c r="B81" s="21" t="s">
        <v>1818</v>
      </c>
      <c r="C81" s="21" t="s">
        <v>1819</v>
      </c>
      <c r="D81" s="21" t="s">
        <v>2239</v>
      </c>
    </row>
    <row r="82" spans="1:4" x14ac:dyDescent="0.3">
      <c r="A82" s="105">
        <v>41989</v>
      </c>
      <c r="B82" s="21" t="s">
        <v>1820</v>
      </c>
      <c r="C82" s="21" t="s">
        <v>1821</v>
      </c>
      <c r="D82" s="21" t="s">
        <v>2240</v>
      </c>
    </row>
    <row r="83" spans="1:4" x14ac:dyDescent="0.3">
      <c r="A83" s="105">
        <v>41989</v>
      </c>
      <c r="B83" s="21" t="s">
        <v>1822</v>
      </c>
      <c r="C83" s="21" t="s">
        <v>1823</v>
      </c>
      <c r="D83" s="21" t="s">
        <v>2241</v>
      </c>
    </row>
    <row r="84" spans="1:4" x14ac:dyDescent="0.3">
      <c r="A84" s="105">
        <v>41989</v>
      </c>
      <c r="B84" s="21" t="s">
        <v>1824</v>
      </c>
      <c r="C84" s="21" t="s">
        <v>1825</v>
      </c>
      <c r="D84" s="21" t="s">
        <v>2242</v>
      </c>
    </row>
    <row r="85" spans="1:4" x14ac:dyDescent="0.3">
      <c r="A85" s="105">
        <v>41989</v>
      </c>
      <c r="B85" s="21" t="s">
        <v>1826</v>
      </c>
      <c r="C85" s="21" t="s">
        <v>1827</v>
      </c>
      <c r="D85" s="21" t="s">
        <v>2243</v>
      </c>
    </row>
    <row r="86" spans="1:4" x14ac:dyDescent="0.3">
      <c r="A86" s="105">
        <v>41989</v>
      </c>
      <c r="B86" s="21" t="s">
        <v>1828</v>
      </c>
      <c r="C86" s="21" t="s">
        <v>1829</v>
      </c>
      <c r="D86" s="21" t="s">
        <v>2244</v>
      </c>
    </row>
    <row r="87" spans="1:4" x14ac:dyDescent="0.3">
      <c r="B87" s="7"/>
      <c r="C87" s="7"/>
    </row>
    <row r="88" spans="1:4" x14ac:dyDescent="0.3">
      <c r="A88" s="5" t="s">
        <v>3836</v>
      </c>
      <c r="B88" s="6" t="str">
        <f>"Change in description ("&amp;COUNTA(B89:B145)&amp;")"</f>
        <v>Change in description (56)</v>
      </c>
      <c r="C88" s="6" t="s">
        <v>115</v>
      </c>
      <c r="D88" s="6" t="s">
        <v>116</v>
      </c>
    </row>
    <row r="89" spans="1:4" x14ac:dyDescent="0.3">
      <c r="A89" s="97">
        <v>41738</v>
      </c>
      <c r="B89" t="s">
        <v>1878</v>
      </c>
      <c r="C89" t="s">
        <v>1880</v>
      </c>
      <c r="D89" t="s">
        <v>1879</v>
      </c>
    </row>
    <row r="90" spans="1:4" x14ac:dyDescent="0.3">
      <c r="A90" s="97">
        <v>41738</v>
      </c>
      <c r="B90" t="s">
        <v>1870</v>
      </c>
      <c r="C90" t="s">
        <v>1875</v>
      </c>
      <c r="D90" t="s">
        <v>2008</v>
      </c>
    </row>
    <row r="91" spans="1:4" x14ac:dyDescent="0.3">
      <c r="A91" s="97">
        <v>41738</v>
      </c>
      <c r="B91" t="s">
        <v>1871</v>
      </c>
      <c r="C91" t="s">
        <v>1876</v>
      </c>
      <c r="D91" t="s">
        <v>1872</v>
      </c>
    </row>
    <row r="92" spans="1:4" x14ac:dyDescent="0.3">
      <c r="A92" s="97">
        <v>41738</v>
      </c>
      <c r="B92" t="s">
        <v>1873</v>
      </c>
      <c r="C92" t="s">
        <v>1877</v>
      </c>
      <c r="D92" t="s">
        <v>1874</v>
      </c>
    </row>
    <row r="93" spans="1:4" x14ac:dyDescent="0.3">
      <c r="A93" s="97">
        <v>41738</v>
      </c>
      <c r="B93" t="s">
        <v>2001</v>
      </c>
      <c r="C93" t="s">
        <v>2005</v>
      </c>
      <c r="D93" t="s">
        <v>2003</v>
      </c>
    </row>
    <row r="94" spans="1:4" x14ac:dyDescent="0.3">
      <c r="A94" s="97">
        <v>41738</v>
      </c>
      <c r="B94" t="s">
        <v>2002</v>
      </c>
      <c r="C94" t="s">
        <v>2006</v>
      </c>
      <c r="D94" t="s">
        <v>2004</v>
      </c>
    </row>
    <row r="95" spans="1:4" x14ac:dyDescent="0.3">
      <c r="A95" s="97">
        <v>41738</v>
      </c>
      <c r="B95" t="s">
        <v>1946</v>
      </c>
      <c r="C95" t="s">
        <v>1958</v>
      </c>
      <c r="D95" t="s">
        <v>1947</v>
      </c>
    </row>
    <row r="96" spans="1:4" x14ac:dyDescent="0.3">
      <c r="A96" s="97">
        <v>41738</v>
      </c>
      <c r="B96" t="s">
        <v>1948</v>
      </c>
      <c r="C96" t="s">
        <v>1959</v>
      </c>
      <c r="D96" t="s">
        <v>1949</v>
      </c>
    </row>
    <row r="97" spans="1:4" x14ac:dyDescent="0.3">
      <c r="A97" s="97">
        <v>41738</v>
      </c>
      <c r="B97" t="s">
        <v>1950</v>
      </c>
      <c r="C97" t="s">
        <v>1960</v>
      </c>
      <c r="D97" t="s">
        <v>1951</v>
      </c>
    </row>
    <row r="98" spans="1:4" x14ac:dyDescent="0.3">
      <c r="A98" s="97">
        <v>41738</v>
      </c>
      <c r="B98" t="s">
        <v>1952</v>
      </c>
      <c r="C98" t="s">
        <v>1961</v>
      </c>
      <c r="D98" t="s">
        <v>1953</v>
      </c>
    </row>
    <row r="99" spans="1:4" x14ac:dyDescent="0.3">
      <c r="A99" s="97">
        <v>41738</v>
      </c>
      <c r="B99" t="s">
        <v>1954</v>
      </c>
      <c r="C99" t="s">
        <v>1962</v>
      </c>
      <c r="D99" t="s">
        <v>1955</v>
      </c>
    </row>
    <row r="100" spans="1:4" x14ac:dyDescent="0.3">
      <c r="A100" s="97">
        <v>41738</v>
      </c>
      <c r="B100" t="s">
        <v>1956</v>
      </c>
      <c r="C100" t="s">
        <v>1963</v>
      </c>
      <c r="D100" t="s">
        <v>1957</v>
      </c>
    </row>
    <row r="101" spans="1:4" x14ac:dyDescent="0.3">
      <c r="A101" s="97">
        <v>41738</v>
      </c>
      <c r="B101" t="s">
        <v>433</v>
      </c>
      <c r="C101" t="s">
        <v>434</v>
      </c>
      <c r="D101" t="s">
        <v>1889</v>
      </c>
    </row>
    <row r="102" spans="1:4" x14ac:dyDescent="0.3">
      <c r="A102" s="97">
        <v>41738</v>
      </c>
      <c r="B102" t="s">
        <v>438</v>
      </c>
      <c r="C102" t="s">
        <v>439</v>
      </c>
      <c r="D102" t="s">
        <v>1890</v>
      </c>
    </row>
    <row r="103" spans="1:4" x14ac:dyDescent="0.3">
      <c r="A103" s="97">
        <v>41738</v>
      </c>
      <c r="B103" t="s">
        <v>440</v>
      </c>
      <c r="C103" t="s">
        <v>441</v>
      </c>
      <c r="D103" t="s">
        <v>1891</v>
      </c>
    </row>
    <row r="104" spans="1:4" x14ac:dyDescent="0.3">
      <c r="A104" s="97">
        <v>41738</v>
      </c>
      <c r="B104" t="s">
        <v>442</v>
      </c>
      <c r="C104" t="s">
        <v>443</v>
      </c>
      <c r="D104" t="s">
        <v>1892</v>
      </c>
    </row>
    <row r="105" spans="1:4" x14ac:dyDescent="0.3">
      <c r="A105" s="97">
        <v>41738</v>
      </c>
      <c r="B105" t="s">
        <v>445</v>
      </c>
      <c r="C105" t="s">
        <v>446</v>
      </c>
      <c r="D105" t="s">
        <v>1893</v>
      </c>
    </row>
    <row r="106" spans="1:4" x14ac:dyDescent="0.3">
      <c r="A106" s="97">
        <v>41738</v>
      </c>
      <c r="B106" t="s">
        <v>447</v>
      </c>
      <c r="C106" t="s">
        <v>448</v>
      </c>
      <c r="D106" t="s">
        <v>1894</v>
      </c>
    </row>
    <row r="107" spans="1:4" x14ac:dyDescent="0.3">
      <c r="A107" s="97">
        <v>41738</v>
      </c>
      <c r="B107" t="s">
        <v>1528</v>
      </c>
      <c r="C107" t="s">
        <v>1895</v>
      </c>
      <c r="D107" t="s">
        <v>1896</v>
      </c>
    </row>
    <row r="108" spans="1:4" x14ac:dyDescent="0.3">
      <c r="A108" s="97">
        <v>41738</v>
      </c>
      <c r="B108" t="s">
        <v>449</v>
      </c>
      <c r="C108" t="s">
        <v>450</v>
      </c>
      <c r="D108" t="s">
        <v>1901</v>
      </c>
    </row>
    <row r="109" spans="1:4" x14ac:dyDescent="0.3">
      <c r="A109" s="97">
        <v>41738</v>
      </c>
      <c r="B109" t="s">
        <v>1529</v>
      </c>
      <c r="C109" t="s">
        <v>1897</v>
      </c>
      <c r="D109" t="s">
        <v>1898</v>
      </c>
    </row>
    <row r="110" spans="1:4" x14ac:dyDescent="0.3">
      <c r="A110" s="97">
        <v>41738</v>
      </c>
      <c r="B110" t="s">
        <v>1530</v>
      </c>
      <c r="C110" t="s">
        <v>1899</v>
      </c>
      <c r="D110" t="s">
        <v>1900</v>
      </c>
    </row>
    <row r="111" spans="1:4" x14ac:dyDescent="0.3">
      <c r="A111" s="97">
        <v>41738</v>
      </c>
      <c r="B111" t="s">
        <v>1911</v>
      </c>
      <c r="C111" t="s">
        <v>1912</v>
      </c>
      <c r="D111" t="s">
        <v>1913</v>
      </c>
    </row>
    <row r="112" spans="1:4" x14ac:dyDescent="0.3">
      <c r="A112" s="97">
        <v>41738</v>
      </c>
      <c r="B112" t="s">
        <v>1914</v>
      </c>
      <c r="C112" t="s">
        <v>1915</v>
      </c>
      <c r="D112" t="s">
        <v>1916</v>
      </c>
    </row>
    <row r="113" spans="1:4" x14ac:dyDescent="0.3">
      <c r="A113" s="97">
        <v>41738</v>
      </c>
      <c r="B113" t="s">
        <v>1917</v>
      </c>
      <c r="C113" t="s">
        <v>1918</v>
      </c>
      <c r="D113" t="s">
        <v>1919</v>
      </c>
    </row>
    <row r="114" spans="1:4" x14ac:dyDescent="0.3">
      <c r="A114" s="97">
        <v>41738</v>
      </c>
      <c r="B114" t="s">
        <v>1902</v>
      </c>
      <c r="C114" t="s">
        <v>1903</v>
      </c>
      <c r="D114" t="s">
        <v>1904</v>
      </c>
    </row>
    <row r="115" spans="1:4" x14ac:dyDescent="0.3">
      <c r="A115" s="97">
        <v>41738</v>
      </c>
      <c r="B115" t="s">
        <v>1905</v>
      </c>
      <c r="C115" t="s">
        <v>1906</v>
      </c>
      <c r="D115" t="s">
        <v>1907</v>
      </c>
    </row>
    <row r="116" spans="1:4" x14ac:dyDescent="0.3">
      <c r="A116" s="97">
        <v>41738</v>
      </c>
      <c r="B116" t="s">
        <v>1908</v>
      </c>
      <c r="C116" t="s">
        <v>1909</v>
      </c>
      <c r="D116" t="s">
        <v>1910</v>
      </c>
    </row>
    <row r="117" spans="1:4" x14ac:dyDescent="0.3">
      <c r="A117" s="105">
        <v>41765</v>
      </c>
      <c r="B117" s="21" t="s">
        <v>2037</v>
      </c>
      <c r="C117" s="21" t="s">
        <v>2051</v>
      </c>
      <c r="D117" s="21" t="s">
        <v>2038</v>
      </c>
    </row>
    <row r="118" spans="1:4" x14ac:dyDescent="0.3">
      <c r="A118" s="105">
        <v>41765</v>
      </c>
      <c r="B118" s="21" t="s">
        <v>2039</v>
      </c>
      <c r="C118" s="21" t="s">
        <v>2052</v>
      </c>
      <c r="D118" s="21" t="s">
        <v>2040</v>
      </c>
    </row>
    <row r="119" spans="1:4" x14ac:dyDescent="0.3">
      <c r="A119" s="105">
        <v>41765</v>
      </c>
      <c r="B119" s="21" t="s">
        <v>2041</v>
      </c>
      <c r="C119" s="21" t="s">
        <v>2053</v>
      </c>
      <c r="D119" s="21" t="s">
        <v>2042</v>
      </c>
    </row>
    <row r="120" spans="1:4" x14ac:dyDescent="0.3">
      <c r="A120" s="105">
        <v>41765</v>
      </c>
      <c r="B120" s="21" t="s">
        <v>2043</v>
      </c>
      <c r="C120" s="21" t="s">
        <v>2054</v>
      </c>
      <c r="D120" s="21" t="s">
        <v>2044</v>
      </c>
    </row>
    <row r="121" spans="1:4" x14ac:dyDescent="0.3">
      <c r="A121" s="105">
        <v>41765</v>
      </c>
      <c r="B121" s="21" t="s">
        <v>2045</v>
      </c>
      <c r="C121" s="21" t="s">
        <v>2055</v>
      </c>
      <c r="D121" s="21" t="s">
        <v>2046</v>
      </c>
    </row>
    <row r="122" spans="1:4" x14ac:dyDescent="0.3">
      <c r="A122" s="105">
        <v>41765</v>
      </c>
      <c r="B122" s="21" t="s">
        <v>2047</v>
      </c>
      <c r="C122" s="21" t="s">
        <v>2056</v>
      </c>
      <c r="D122" s="21" t="s">
        <v>2048</v>
      </c>
    </row>
    <row r="123" spans="1:4" x14ac:dyDescent="0.3">
      <c r="A123" s="105">
        <v>41765</v>
      </c>
      <c r="B123" s="21" t="s">
        <v>1542</v>
      </c>
      <c r="C123" s="21" t="s">
        <v>1543</v>
      </c>
      <c r="D123" s="21" t="s">
        <v>2049</v>
      </c>
    </row>
    <row r="124" spans="1:4" x14ac:dyDescent="0.3">
      <c r="A124" s="105">
        <v>41765</v>
      </c>
      <c r="B124" s="21" t="s">
        <v>1550</v>
      </c>
      <c r="C124" s="21" t="s">
        <v>1551</v>
      </c>
      <c r="D124" s="21" t="s">
        <v>2050</v>
      </c>
    </row>
    <row r="125" spans="1:4" x14ac:dyDescent="0.3">
      <c r="A125" s="109">
        <v>41821</v>
      </c>
      <c r="B125" s="22" t="s">
        <v>2103</v>
      </c>
      <c r="C125" s="22" t="s">
        <v>2107</v>
      </c>
      <c r="D125" s="22" t="s">
        <v>2104</v>
      </c>
    </row>
    <row r="126" spans="1:4" x14ac:dyDescent="0.3">
      <c r="A126" s="109">
        <v>41821</v>
      </c>
      <c r="B126" s="22" t="s">
        <v>2105</v>
      </c>
      <c r="C126" s="22" t="s">
        <v>2108</v>
      </c>
      <c r="D126" s="22" t="s">
        <v>2106</v>
      </c>
    </row>
    <row r="127" spans="1:4" x14ac:dyDescent="0.3">
      <c r="A127" s="102">
        <v>41898</v>
      </c>
      <c r="B127" s="20" t="s">
        <v>2083</v>
      </c>
      <c r="C127" s="20" t="s">
        <v>2120</v>
      </c>
      <c r="D127" s="20" t="s">
        <v>2119</v>
      </c>
    </row>
    <row r="128" spans="1:4" x14ac:dyDescent="0.3">
      <c r="A128" s="102">
        <v>41898</v>
      </c>
      <c r="B128" s="20" t="s">
        <v>2121</v>
      </c>
      <c r="C128" s="20" t="s">
        <v>2123</v>
      </c>
      <c r="D128" s="20" t="s">
        <v>2122</v>
      </c>
    </row>
    <row r="129" spans="1:4" x14ac:dyDescent="0.3">
      <c r="A129" s="102">
        <v>41898</v>
      </c>
      <c r="B129" s="20" t="s">
        <v>295</v>
      </c>
      <c r="C129" s="20" t="s">
        <v>426</v>
      </c>
      <c r="D129" s="20" t="s">
        <v>2124</v>
      </c>
    </row>
    <row r="130" spans="1:4" x14ac:dyDescent="0.3">
      <c r="A130" s="113">
        <v>41949</v>
      </c>
      <c r="B130" s="35" t="s">
        <v>2173</v>
      </c>
      <c r="C130" s="35" t="s">
        <v>2175</v>
      </c>
      <c r="D130" s="35" t="s">
        <v>2192</v>
      </c>
    </row>
    <row r="131" spans="1:4" x14ac:dyDescent="0.3">
      <c r="A131" s="113">
        <v>41949</v>
      </c>
      <c r="B131" s="35" t="s">
        <v>2174</v>
      </c>
      <c r="C131" s="35" t="s">
        <v>2176</v>
      </c>
      <c r="D131" s="35" t="s">
        <v>2193</v>
      </c>
    </row>
    <row r="132" spans="1:4" x14ac:dyDescent="0.3">
      <c r="A132" s="113">
        <v>41949</v>
      </c>
      <c r="B132" s="35" t="s">
        <v>351</v>
      </c>
      <c r="C132" s="35" t="s">
        <v>2177</v>
      </c>
      <c r="D132" s="35" t="s">
        <v>2178</v>
      </c>
    </row>
    <row r="133" spans="1:4" x14ac:dyDescent="0.3">
      <c r="A133" s="113">
        <v>41949</v>
      </c>
      <c r="B133" s="35" t="s">
        <v>354</v>
      </c>
      <c r="C133" s="35" t="s">
        <v>2179</v>
      </c>
      <c r="D133" s="35" t="s">
        <v>2180</v>
      </c>
    </row>
    <row r="134" spans="1:4" x14ac:dyDescent="0.3">
      <c r="A134" s="113">
        <v>41949</v>
      </c>
      <c r="B134" s="35" t="s">
        <v>355</v>
      </c>
      <c r="C134" s="35" t="s">
        <v>2181</v>
      </c>
      <c r="D134" s="35" t="s">
        <v>2182</v>
      </c>
    </row>
    <row r="135" spans="1:4" x14ac:dyDescent="0.3">
      <c r="A135" s="113">
        <v>41949</v>
      </c>
      <c r="B135" s="35" t="s">
        <v>356</v>
      </c>
      <c r="C135" s="35" t="s">
        <v>2183</v>
      </c>
      <c r="D135" s="35" t="s">
        <v>2184</v>
      </c>
    </row>
    <row r="136" spans="1:4" x14ac:dyDescent="0.3">
      <c r="A136" s="113">
        <v>41949</v>
      </c>
      <c r="B136" s="35" t="s">
        <v>357</v>
      </c>
      <c r="C136" s="35" t="s">
        <v>2185</v>
      </c>
      <c r="D136" s="35" t="s">
        <v>2186</v>
      </c>
    </row>
    <row r="137" spans="1:4" x14ac:dyDescent="0.3">
      <c r="A137" s="113">
        <v>41949</v>
      </c>
      <c r="B137" s="35" t="s">
        <v>358</v>
      </c>
      <c r="C137" s="35" t="s">
        <v>2187</v>
      </c>
      <c r="D137" s="35" t="s">
        <v>2188</v>
      </c>
    </row>
    <row r="138" spans="1:4" x14ac:dyDescent="0.3">
      <c r="A138" s="105">
        <v>41989</v>
      </c>
      <c r="B138" s="21" t="s">
        <v>2242</v>
      </c>
      <c r="C138" s="21" t="s">
        <v>1825</v>
      </c>
      <c r="D138" s="21" t="s">
        <v>2245</v>
      </c>
    </row>
    <row r="139" spans="1:4" x14ac:dyDescent="0.3">
      <c r="A139" s="105">
        <v>41989</v>
      </c>
      <c r="B139" s="21" t="s">
        <v>2241</v>
      </c>
      <c r="C139" s="21" t="s">
        <v>1823</v>
      </c>
      <c r="D139" s="21" t="s">
        <v>2246</v>
      </c>
    </row>
    <row r="140" spans="1:4" x14ac:dyDescent="0.3">
      <c r="A140" s="105">
        <v>41989</v>
      </c>
      <c r="B140" s="21" t="s">
        <v>2243</v>
      </c>
      <c r="C140" s="21" t="s">
        <v>1827</v>
      </c>
      <c r="D140" s="21" t="s">
        <v>2247</v>
      </c>
    </row>
    <row r="141" spans="1:4" x14ac:dyDescent="0.3">
      <c r="A141" s="105">
        <v>41989</v>
      </c>
      <c r="B141" s="21" t="s">
        <v>2244</v>
      </c>
      <c r="C141" s="21" t="s">
        <v>1829</v>
      </c>
      <c r="D141" s="21" t="s">
        <v>2248</v>
      </c>
    </row>
    <row r="142" spans="1:4" x14ac:dyDescent="0.3">
      <c r="A142" s="105">
        <v>41989</v>
      </c>
      <c r="B142" s="21" t="s">
        <v>983</v>
      </c>
      <c r="C142" s="21" t="s">
        <v>2255</v>
      </c>
      <c r="D142" s="21" t="s">
        <v>2278</v>
      </c>
    </row>
    <row r="143" spans="1:4" x14ac:dyDescent="0.3">
      <c r="A143" s="105">
        <v>41989</v>
      </c>
      <c r="B143" s="21" t="s">
        <v>2256</v>
      </c>
      <c r="C143" s="21" t="s">
        <v>2257</v>
      </c>
      <c r="D143" s="21" t="s">
        <v>2258</v>
      </c>
    </row>
    <row r="144" spans="1:4" x14ac:dyDescent="0.3">
      <c r="A144" s="105">
        <v>41989</v>
      </c>
      <c r="B144" s="21" t="s">
        <v>516</v>
      </c>
      <c r="C144" s="21" t="s">
        <v>518</v>
      </c>
      <c r="D144" s="21" t="s">
        <v>2259</v>
      </c>
    </row>
    <row r="146" spans="1:4" x14ac:dyDescent="0.3">
      <c r="A146" s="5" t="s">
        <v>3836</v>
      </c>
      <c r="B146" s="5" t="str">
        <f>"Change in definition ("&amp;COUNTA(B147:B207)&amp;")"</f>
        <v>Change in definition (60)</v>
      </c>
      <c r="C146" s="5" t="s">
        <v>198</v>
      </c>
      <c r="D146" s="5" t="s">
        <v>199</v>
      </c>
    </row>
    <row r="147" spans="1:4" s="7" customFormat="1" x14ac:dyDescent="0.3">
      <c r="A147" s="97">
        <v>41738</v>
      </c>
      <c r="B147" s="29" t="s">
        <v>1878</v>
      </c>
      <c r="C147" s="7" t="s">
        <v>2018</v>
      </c>
      <c r="D147" s="9" t="s">
        <v>2017</v>
      </c>
    </row>
    <row r="148" spans="1:4" s="7" customFormat="1" x14ac:dyDescent="0.3">
      <c r="A148" s="97">
        <v>41738</v>
      </c>
      <c r="B148" t="s">
        <v>2030</v>
      </c>
      <c r="C148" s="7" t="s">
        <v>2032</v>
      </c>
      <c r="D148" s="9" t="s">
        <v>2031</v>
      </c>
    </row>
    <row r="149" spans="1:4" s="7" customFormat="1" x14ac:dyDescent="0.3">
      <c r="A149" s="97">
        <v>41738</v>
      </c>
      <c r="B149" t="s">
        <v>1870</v>
      </c>
      <c r="C149" s="7" t="s">
        <v>1998</v>
      </c>
      <c r="D149" t="s">
        <v>2009</v>
      </c>
    </row>
    <row r="150" spans="1:4" s="7" customFormat="1" x14ac:dyDescent="0.3">
      <c r="A150" s="97">
        <v>41738</v>
      </c>
      <c r="B150" t="s">
        <v>1871</v>
      </c>
      <c r="C150" s="7" t="s">
        <v>1999</v>
      </c>
      <c r="D150" t="s">
        <v>2010</v>
      </c>
    </row>
    <row r="151" spans="1:4" s="7" customFormat="1" x14ac:dyDescent="0.3">
      <c r="A151" s="97">
        <v>41738</v>
      </c>
      <c r="B151" t="s">
        <v>1873</v>
      </c>
      <c r="C151" s="7" t="s">
        <v>2000</v>
      </c>
      <c r="D151" t="s">
        <v>2007</v>
      </c>
    </row>
    <row r="152" spans="1:4" s="7" customFormat="1" x14ac:dyDescent="0.3">
      <c r="A152" s="97">
        <v>41738</v>
      </c>
      <c r="B152" t="s">
        <v>1911</v>
      </c>
      <c r="C152" s="7" t="s">
        <v>1995</v>
      </c>
      <c r="D152" s="11" t="s">
        <v>1997</v>
      </c>
    </row>
    <row r="153" spans="1:4" s="7" customFormat="1" x14ac:dyDescent="0.3">
      <c r="A153" s="97">
        <v>41738</v>
      </c>
      <c r="B153" t="s">
        <v>1914</v>
      </c>
      <c r="C153" s="7" t="s">
        <v>1995</v>
      </c>
      <c r="D153" s="11" t="s">
        <v>1997</v>
      </c>
    </row>
    <row r="154" spans="1:4" s="7" customFormat="1" x14ac:dyDescent="0.3">
      <c r="A154" s="97">
        <v>41738</v>
      </c>
      <c r="B154" t="s">
        <v>1917</v>
      </c>
      <c r="C154" s="7" t="s">
        <v>1995</v>
      </c>
      <c r="D154" s="11" t="s">
        <v>1997</v>
      </c>
    </row>
    <row r="155" spans="1:4" s="7" customFormat="1" x14ac:dyDescent="0.3">
      <c r="A155" s="97">
        <v>41738</v>
      </c>
      <c r="B155" t="s">
        <v>1902</v>
      </c>
      <c r="C155" s="7" t="s">
        <v>1994</v>
      </c>
      <c r="D155" s="11" t="s">
        <v>1996</v>
      </c>
    </row>
    <row r="156" spans="1:4" s="7" customFormat="1" x14ac:dyDescent="0.3">
      <c r="A156" s="97">
        <v>41738</v>
      </c>
      <c r="B156" t="s">
        <v>1905</v>
      </c>
      <c r="C156" s="7" t="s">
        <v>1994</v>
      </c>
      <c r="D156" s="11" t="s">
        <v>1996</v>
      </c>
    </row>
    <row r="157" spans="1:4" s="7" customFormat="1" x14ac:dyDescent="0.3">
      <c r="A157" s="97">
        <v>41738</v>
      </c>
      <c r="B157" t="s">
        <v>1908</v>
      </c>
      <c r="C157" s="7" t="s">
        <v>1994</v>
      </c>
      <c r="D157" s="11" t="s">
        <v>1996</v>
      </c>
    </row>
    <row r="158" spans="1:4" s="7" customFormat="1" x14ac:dyDescent="0.3">
      <c r="A158" s="105">
        <v>41765</v>
      </c>
      <c r="B158" s="21" t="s">
        <v>2095</v>
      </c>
      <c r="C158" s="31" t="s">
        <v>2097</v>
      </c>
      <c r="D158" s="31" t="s">
        <v>2096</v>
      </c>
    </row>
    <row r="159" spans="1:4" s="7" customFormat="1" x14ac:dyDescent="0.3">
      <c r="A159" s="105">
        <v>41765</v>
      </c>
      <c r="B159" s="21" t="s">
        <v>2039</v>
      </c>
      <c r="C159" s="30" t="s">
        <v>2064</v>
      </c>
      <c r="D159" s="30" t="s">
        <v>2057</v>
      </c>
    </row>
    <row r="160" spans="1:4" s="7" customFormat="1" x14ac:dyDescent="0.3">
      <c r="A160" s="105">
        <v>41765</v>
      </c>
      <c r="B160" s="21" t="s">
        <v>2041</v>
      </c>
      <c r="C160" s="30" t="s">
        <v>2065</v>
      </c>
      <c r="D160" s="30" t="s">
        <v>2058</v>
      </c>
    </row>
    <row r="161" spans="1:4" s="7" customFormat="1" x14ac:dyDescent="0.3">
      <c r="A161" s="105">
        <v>41765</v>
      </c>
      <c r="B161" s="21" t="s">
        <v>2043</v>
      </c>
      <c r="C161" s="30" t="s">
        <v>2066</v>
      </c>
      <c r="D161" s="30" t="s">
        <v>2059</v>
      </c>
    </row>
    <row r="162" spans="1:4" s="7" customFormat="1" x14ac:dyDescent="0.3">
      <c r="A162" s="105">
        <v>41765</v>
      </c>
      <c r="B162" s="21" t="s">
        <v>2045</v>
      </c>
      <c r="C162" s="30" t="s">
        <v>2067</v>
      </c>
      <c r="D162" s="30" t="s">
        <v>2060</v>
      </c>
    </row>
    <row r="163" spans="1:4" s="7" customFormat="1" x14ac:dyDescent="0.3">
      <c r="A163" s="105">
        <v>41765</v>
      </c>
      <c r="B163" s="21" t="s">
        <v>2047</v>
      </c>
      <c r="C163" s="30" t="s">
        <v>2068</v>
      </c>
      <c r="D163" s="30" t="s">
        <v>2061</v>
      </c>
    </row>
    <row r="164" spans="1:4" s="7" customFormat="1" x14ac:dyDescent="0.3">
      <c r="A164" s="105">
        <v>41765</v>
      </c>
      <c r="B164" s="21" t="s">
        <v>1542</v>
      </c>
      <c r="C164" s="30" t="s">
        <v>1544</v>
      </c>
      <c r="D164" s="30" t="s">
        <v>2062</v>
      </c>
    </row>
    <row r="165" spans="1:4" s="7" customFormat="1" x14ac:dyDescent="0.3">
      <c r="A165" s="105">
        <v>41765</v>
      </c>
      <c r="B165" s="21" t="s">
        <v>1550</v>
      </c>
      <c r="C165" s="30" t="s">
        <v>1552</v>
      </c>
      <c r="D165" s="30" t="s">
        <v>2063</v>
      </c>
    </row>
    <row r="166" spans="1:4" s="7" customFormat="1" x14ac:dyDescent="0.3">
      <c r="A166" s="105">
        <v>41765</v>
      </c>
      <c r="B166" s="21" t="s">
        <v>2073</v>
      </c>
      <c r="C166" s="30" t="s">
        <v>2074</v>
      </c>
      <c r="D166" s="30" t="s">
        <v>2075</v>
      </c>
    </row>
    <row r="167" spans="1:4" s="7" customFormat="1" x14ac:dyDescent="0.3">
      <c r="A167" s="105">
        <v>41765</v>
      </c>
      <c r="B167" s="21" t="s">
        <v>2076</v>
      </c>
      <c r="C167" s="30" t="s">
        <v>2077</v>
      </c>
      <c r="D167" s="30" t="s">
        <v>2089</v>
      </c>
    </row>
    <row r="168" spans="1:4" s="7" customFormat="1" x14ac:dyDescent="0.3">
      <c r="A168" s="105">
        <v>41765</v>
      </c>
      <c r="B168" s="21" t="s">
        <v>2078</v>
      </c>
      <c r="C168" s="30" t="s">
        <v>2079</v>
      </c>
      <c r="D168" s="30" t="s">
        <v>2091</v>
      </c>
    </row>
    <row r="169" spans="1:4" s="7" customFormat="1" x14ac:dyDescent="0.3">
      <c r="A169" s="105">
        <v>41765</v>
      </c>
      <c r="B169" s="21" t="s">
        <v>287</v>
      </c>
      <c r="C169" s="30" t="s">
        <v>289</v>
      </c>
      <c r="D169" s="30" t="s">
        <v>2090</v>
      </c>
    </row>
    <row r="170" spans="1:4" s="7" customFormat="1" x14ac:dyDescent="0.3">
      <c r="A170" s="105">
        <v>41765</v>
      </c>
      <c r="B170" s="21" t="s">
        <v>2080</v>
      </c>
      <c r="C170" s="30" t="s">
        <v>2081</v>
      </c>
      <c r="D170" s="30" t="s">
        <v>2092</v>
      </c>
    </row>
    <row r="171" spans="1:4" s="7" customFormat="1" x14ac:dyDescent="0.3">
      <c r="A171" s="105">
        <v>41765</v>
      </c>
      <c r="B171" s="21" t="s">
        <v>2082</v>
      </c>
      <c r="C171" s="30" t="s">
        <v>2085</v>
      </c>
      <c r="D171" s="30" t="s">
        <v>2093</v>
      </c>
    </row>
    <row r="172" spans="1:4" s="7" customFormat="1" x14ac:dyDescent="0.3">
      <c r="A172" s="105">
        <v>41765</v>
      </c>
      <c r="B172" s="21" t="s">
        <v>2083</v>
      </c>
      <c r="C172" s="30" t="s">
        <v>2086</v>
      </c>
      <c r="D172" s="30" t="s">
        <v>2088</v>
      </c>
    </row>
    <row r="173" spans="1:4" s="7" customFormat="1" x14ac:dyDescent="0.3">
      <c r="A173" s="105">
        <v>41765</v>
      </c>
      <c r="B173" s="21" t="s">
        <v>2084</v>
      </c>
      <c r="C173" s="30" t="s">
        <v>2087</v>
      </c>
      <c r="D173" s="30" t="s">
        <v>2094</v>
      </c>
    </row>
    <row r="174" spans="1:4" s="7" customFormat="1" x14ac:dyDescent="0.3">
      <c r="A174" s="102">
        <v>41898</v>
      </c>
      <c r="B174" s="20" t="s">
        <v>295</v>
      </c>
      <c r="C174" s="32" t="s">
        <v>2125</v>
      </c>
      <c r="D174" s="32" t="s">
        <v>2126</v>
      </c>
    </row>
    <row r="175" spans="1:4" s="7" customFormat="1" x14ac:dyDescent="0.3">
      <c r="A175" s="102">
        <v>41898</v>
      </c>
      <c r="B175" s="20" t="s">
        <v>321</v>
      </c>
      <c r="C175" s="32" t="s">
        <v>55</v>
      </c>
      <c r="D175" s="32" t="s">
        <v>2135</v>
      </c>
    </row>
    <row r="176" spans="1:4" s="7" customFormat="1" x14ac:dyDescent="0.3">
      <c r="A176" s="102">
        <v>41898</v>
      </c>
      <c r="B176" s="20" t="s">
        <v>53</v>
      </c>
      <c r="C176" s="32" t="s">
        <v>55</v>
      </c>
      <c r="D176" s="32" t="s">
        <v>2138</v>
      </c>
    </row>
    <row r="177" spans="1:4" s="7" customFormat="1" x14ac:dyDescent="0.3">
      <c r="A177" s="102">
        <v>41898</v>
      </c>
      <c r="B177" s="20" t="s">
        <v>58</v>
      </c>
      <c r="C177" s="32" t="s">
        <v>55</v>
      </c>
      <c r="D177" s="32" t="s">
        <v>2139</v>
      </c>
    </row>
    <row r="178" spans="1:4" s="7" customFormat="1" x14ac:dyDescent="0.3">
      <c r="A178" s="102">
        <v>41898</v>
      </c>
      <c r="B178" s="20" t="s">
        <v>1798</v>
      </c>
      <c r="C178" s="32" t="s">
        <v>1830</v>
      </c>
      <c r="D178" s="32" t="s">
        <v>2136</v>
      </c>
    </row>
    <row r="179" spans="1:4" s="7" customFormat="1" x14ac:dyDescent="0.3">
      <c r="A179" s="102">
        <v>41898</v>
      </c>
      <c r="B179" s="20" t="s">
        <v>1799</v>
      </c>
      <c r="C179" s="32" t="s">
        <v>1830</v>
      </c>
      <c r="D179" s="32" t="s">
        <v>2137</v>
      </c>
    </row>
    <row r="180" spans="1:4" s="7" customFormat="1" x14ac:dyDescent="0.3">
      <c r="A180" s="114">
        <v>41920</v>
      </c>
      <c r="B180" s="33" t="s">
        <v>2154</v>
      </c>
      <c r="C180" s="34" t="s">
        <v>2155</v>
      </c>
      <c r="D180" s="34" t="s">
        <v>2156</v>
      </c>
    </row>
    <row r="181" spans="1:4" s="7" customFormat="1" x14ac:dyDescent="0.3">
      <c r="A181" s="114">
        <v>41920</v>
      </c>
      <c r="B181" s="33" t="s">
        <v>2157</v>
      </c>
      <c r="C181" s="34" t="s">
        <v>2158</v>
      </c>
      <c r="D181" s="34" t="s">
        <v>2159</v>
      </c>
    </row>
    <row r="182" spans="1:4" s="7" customFormat="1" x14ac:dyDescent="0.3">
      <c r="A182" s="114">
        <v>41920</v>
      </c>
      <c r="B182" s="33" t="s">
        <v>2160</v>
      </c>
      <c r="C182" s="34" t="s">
        <v>2161</v>
      </c>
      <c r="D182" s="34" t="s">
        <v>2162</v>
      </c>
    </row>
    <row r="183" spans="1:4" s="7" customFormat="1" x14ac:dyDescent="0.3">
      <c r="A183" s="114">
        <v>41920</v>
      </c>
      <c r="B183" s="33" t="s">
        <v>2163</v>
      </c>
      <c r="C183" s="34" t="s">
        <v>2164</v>
      </c>
      <c r="D183" s="34" t="s">
        <v>2165</v>
      </c>
    </row>
    <row r="184" spans="1:4" s="7" customFormat="1" x14ac:dyDescent="0.3">
      <c r="A184" s="114">
        <v>41920</v>
      </c>
      <c r="B184" s="33" t="s">
        <v>2166</v>
      </c>
      <c r="C184" s="34" t="s">
        <v>2167</v>
      </c>
      <c r="D184" s="34" t="s">
        <v>2168</v>
      </c>
    </row>
    <row r="185" spans="1:4" s="7" customFormat="1" x14ac:dyDescent="0.3">
      <c r="A185" s="113">
        <v>41949</v>
      </c>
      <c r="B185" s="35" t="s">
        <v>2173</v>
      </c>
      <c r="C185" s="36" t="s">
        <v>2194</v>
      </c>
      <c r="D185" s="36" t="s">
        <v>2202</v>
      </c>
    </row>
    <row r="186" spans="1:4" s="7" customFormat="1" x14ac:dyDescent="0.3">
      <c r="A186" s="113">
        <v>41949</v>
      </c>
      <c r="B186" s="35" t="s">
        <v>2174</v>
      </c>
      <c r="C186" s="36" t="s">
        <v>2195</v>
      </c>
      <c r="D186" s="36" t="s">
        <v>2209</v>
      </c>
    </row>
    <row r="187" spans="1:4" s="7" customFormat="1" x14ac:dyDescent="0.3">
      <c r="A187" s="113">
        <v>41949</v>
      </c>
      <c r="B187" s="35" t="s">
        <v>351</v>
      </c>
      <c r="C187" s="36" t="s">
        <v>2196</v>
      </c>
      <c r="D187" s="36" t="s">
        <v>2203</v>
      </c>
    </row>
    <row r="188" spans="1:4" s="7" customFormat="1" x14ac:dyDescent="0.3">
      <c r="A188" s="113">
        <v>41949</v>
      </c>
      <c r="B188" s="35" t="s">
        <v>354</v>
      </c>
      <c r="C188" s="36" t="s">
        <v>2197</v>
      </c>
      <c r="D188" s="36" t="s">
        <v>2204</v>
      </c>
    </row>
    <row r="189" spans="1:4" s="7" customFormat="1" x14ac:dyDescent="0.3">
      <c r="A189" s="113">
        <v>41949</v>
      </c>
      <c r="B189" s="35" t="s">
        <v>355</v>
      </c>
      <c r="C189" s="36" t="s">
        <v>2198</v>
      </c>
      <c r="D189" s="36" t="s">
        <v>2207</v>
      </c>
    </row>
    <row r="190" spans="1:4" s="7" customFormat="1" x14ac:dyDescent="0.3">
      <c r="A190" s="113">
        <v>41949</v>
      </c>
      <c r="B190" s="35" t="s">
        <v>356</v>
      </c>
      <c r="C190" s="36" t="s">
        <v>2199</v>
      </c>
      <c r="D190" s="36" t="s">
        <v>2205</v>
      </c>
    </row>
    <row r="191" spans="1:4" s="7" customFormat="1" x14ac:dyDescent="0.3">
      <c r="A191" s="113">
        <v>41949</v>
      </c>
      <c r="B191" s="35" t="s">
        <v>357</v>
      </c>
      <c r="C191" s="36" t="s">
        <v>2200</v>
      </c>
      <c r="D191" s="36" t="s">
        <v>2208</v>
      </c>
    </row>
    <row r="192" spans="1:4" s="7" customFormat="1" x14ac:dyDescent="0.3">
      <c r="A192" s="113">
        <v>41949</v>
      </c>
      <c r="B192" s="35" t="s">
        <v>358</v>
      </c>
      <c r="C192" s="36" t="s">
        <v>2201</v>
      </c>
      <c r="D192" s="36" t="s">
        <v>2206</v>
      </c>
    </row>
    <row r="193" spans="1:4" s="7" customFormat="1" x14ac:dyDescent="0.3">
      <c r="A193" s="105">
        <v>41989</v>
      </c>
      <c r="B193" s="21" t="s">
        <v>2242</v>
      </c>
      <c r="C193" s="30" t="s">
        <v>1843</v>
      </c>
      <c r="D193" s="30" t="s">
        <v>2261</v>
      </c>
    </row>
    <row r="194" spans="1:4" s="7" customFormat="1" x14ac:dyDescent="0.3">
      <c r="A194" s="105">
        <v>41989</v>
      </c>
      <c r="B194" s="21" t="s">
        <v>2241</v>
      </c>
      <c r="C194" s="30" t="s">
        <v>1842</v>
      </c>
      <c r="D194" s="30" t="s">
        <v>2262</v>
      </c>
    </row>
    <row r="195" spans="1:4" s="7" customFormat="1" x14ac:dyDescent="0.3">
      <c r="A195" s="105">
        <v>41989</v>
      </c>
      <c r="B195" s="21" t="s">
        <v>2243</v>
      </c>
      <c r="C195" s="30" t="s">
        <v>1844</v>
      </c>
      <c r="D195" s="30" t="s">
        <v>2263</v>
      </c>
    </row>
    <row r="196" spans="1:4" s="7" customFormat="1" x14ac:dyDescent="0.3">
      <c r="A196" s="105">
        <v>41989</v>
      </c>
      <c r="B196" s="21" t="s">
        <v>2244</v>
      </c>
      <c r="C196" s="30" t="s">
        <v>1845</v>
      </c>
      <c r="D196" s="30" t="s">
        <v>2264</v>
      </c>
    </row>
    <row r="197" spans="1:4" s="7" customFormat="1" x14ac:dyDescent="0.3">
      <c r="A197" s="105">
        <v>41989</v>
      </c>
      <c r="B197" s="21" t="s">
        <v>2256</v>
      </c>
      <c r="C197" s="30" t="s">
        <v>2279</v>
      </c>
      <c r="D197" s="30" t="s">
        <v>2281</v>
      </c>
    </row>
    <row r="198" spans="1:4" s="7" customFormat="1" x14ac:dyDescent="0.3">
      <c r="A198" s="105">
        <v>41989</v>
      </c>
      <c r="B198" s="21" t="s">
        <v>1401</v>
      </c>
      <c r="C198" s="30" t="s">
        <v>2280</v>
      </c>
      <c r="D198" s="30" t="s">
        <v>2282</v>
      </c>
    </row>
    <row r="199" spans="1:4" s="7" customFormat="1" x14ac:dyDescent="0.3">
      <c r="A199" s="105">
        <v>41989</v>
      </c>
      <c r="B199" s="21" t="s">
        <v>655</v>
      </c>
      <c r="C199" s="30" t="s">
        <v>657</v>
      </c>
      <c r="D199" s="30" t="s">
        <v>2283</v>
      </c>
    </row>
    <row r="200" spans="1:4" s="7" customFormat="1" x14ac:dyDescent="0.3">
      <c r="A200" s="105">
        <v>41989</v>
      </c>
      <c r="B200" s="21" t="s">
        <v>2284</v>
      </c>
      <c r="C200" s="30" t="s">
        <v>2287</v>
      </c>
      <c r="D200" s="30" t="s">
        <v>2289</v>
      </c>
    </row>
    <row r="201" spans="1:4" s="7" customFormat="1" x14ac:dyDescent="0.3">
      <c r="A201" s="105">
        <v>41989</v>
      </c>
      <c r="B201" s="21" t="s">
        <v>2285</v>
      </c>
      <c r="C201" s="30" t="s">
        <v>2287</v>
      </c>
      <c r="D201" s="30" t="s">
        <v>2289</v>
      </c>
    </row>
    <row r="202" spans="1:4" s="7" customFormat="1" x14ac:dyDescent="0.3">
      <c r="A202" s="105">
        <v>41989</v>
      </c>
      <c r="B202" s="21" t="s">
        <v>2286</v>
      </c>
      <c r="C202" s="30" t="s">
        <v>2287</v>
      </c>
      <c r="D202" s="30" t="s">
        <v>2289</v>
      </c>
    </row>
    <row r="203" spans="1:4" x14ac:dyDescent="0.3">
      <c r="A203" s="105">
        <v>41989</v>
      </c>
      <c r="B203" s="21" t="s">
        <v>1972</v>
      </c>
      <c r="C203" s="30" t="s">
        <v>2029</v>
      </c>
      <c r="D203" s="30" t="s">
        <v>2288</v>
      </c>
    </row>
    <row r="204" spans="1:4" x14ac:dyDescent="0.3">
      <c r="A204" s="105">
        <v>41989</v>
      </c>
      <c r="B204" s="21" t="s">
        <v>1974</v>
      </c>
      <c r="C204" s="30" t="s">
        <v>2029</v>
      </c>
      <c r="D204" s="30" t="s">
        <v>2288</v>
      </c>
    </row>
    <row r="205" spans="1:4" s="7" customFormat="1" x14ac:dyDescent="0.3">
      <c r="A205" s="105">
        <v>41989</v>
      </c>
      <c r="B205" s="21" t="s">
        <v>1976</v>
      </c>
      <c r="C205" s="30" t="s">
        <v>2029</v>
      </c>
      <c r="D205" s="30" t="s">
        <v>2288</v>
      </c>
    </row>
    <row r="206" spans="1:4" s="7" customFormat="1" x14ac:dyDescent="0.3">
      <c r="A206" s="105">
        <v>41989</v>
      </c>
      <c r="B206" s="21" t="s">
        <v>1275</v>
      </c>
      <c r="C206" s="30" t="s">
        <v>1277</v>
      </c>
      <c r="D206" s="30" t="s">
        <v>2302</v>
      </c>
    </row>
    <row r="208" spans="1:4" x14ac:dyDescent="0.3">
      <c r="A208" s="5" t="s">
        <v>3836</v>
      </c>
      <c r="B208" s="5" t="str">
        <f>"Change in source ("&amp;COUNTA(B209:B233)&amp;")"</f>
        <v>Change in source (24)</v>
      </c>
      <c r="C208" s="5" t="s">
        <v>307</v>
      </c>
      <c r="D208" s="5" t="s">
        <v>308</v>
      </c>
    </row>
    <row r="209" spans="1:4" x14ac:dyDescent="0.3">
      <c r="A209" s="105">
        <v>41765</v>
      </c>
      <c r="B209" s="21" t="s">
        <v>428</v>
      </c>
      <c r="C209" s="21" t="s">
        <v>431</v>
      </c>
      <c r="D209" s="21" t="s">
        <v>2101</v>
      </c>
    </row>
    <row r="210" spans="1:4" x14ac:dyDescent="0.3">
      <c r="A210" s="105">
        <v>41765</v>
      </c>
      <c r="B210" s="21" t="s">
        <v>2100</v>
      </c>
      <c r="C210" s="21" t="s">
        <v>431</v>
      </c>
      <c r="D210" s="21" t="s">
        <v>2101</v>
      </c>
    </row>
    <row r="211" spans="1:4" x14ac:dyDescent="0.3">
      <c r="A211" s="105">
        <v>41765</v>
      </c>
      <c r="B211" s="21" t="s">
        <v>1210</v>
      </c>
      <c r="C211" s="21" t="s">
        <v>431</v>
      </c>
      <c r="D211" s="21" t="s">
        <v>2101</v>
      </c>
    </row>
    <row r="212" spans="1:4" x14ac:dyDescent="0.3">
      <c r="A212" s="105">
        <v>41765</v>
      </c>
      <c r="B212" s="21" t="s">
        <v>1850</v>
      </c>
      <c r="C212" s="21" t="s">
        <v>431</v>
      </c>
      <c r="D212" s="21" t="s">
        <v>2101</v>
      </c>
    </row>
    <row r="213" spans="1:4" x14ac:dyDescent="0.3">
      <c r="A213" s="109">
        <v>41821</v>
      </c>
      <c r="B213" s="22" t="s">
        <v>1553</v>
      </c>
      <c r="C213" s="22" t="s">
        <v>40</v>
      </c>
      <c r="D213" s="22" t="s">
        <v>2116</v>
      </c>
    </row>
    <row r="214" spans="1:4" x14ac:dyDescent="0.3">
      <c r="A214" s="109">
        <v>41821</v>
      </c>
      <c r="B214" s="22" t="s">
        <v>60</v>
      </c>
      <c r="C214" s="22" t="s">
        <v>40</v>
      </c>
      <c r="D214" s="22" t="s">
        <v>2116</v>
      </c>
    </row>
    <row r="215" spans="1:4" x14ac:dyDescent="0.3">
      <c r="A215" s="102">
        <v>41898</v>
      </c>
      <c r="B215" s="20" t="s">
        <v>2127</v>
      </c>
      <c r="C215" s="32" t="s">
        <v>2129</v>
      </c>
      <c r="D215" s="20" t="s">
        <v>2130</v>
      </c>
    </row>
    <row r="216" spans="1:4" x14ac:dyDescent="0.3">
      <c r="A216" s="102">
        <v>41898</v>
      </c>
      <c r="B216" s="20" t="s">
        <v>2128</v>
      </c>
      <c r="C216" s="32" t="s">
        <v>2129</v>
      </c>
      <c r="D216" s="20" t="s">
        <v>2130</v>
      </c>
    </row>
    <row r="217" spans="1:4" x14ac:dyDescent="0.3">
      <c r="A217" s="102">
        <v>41898</v>
      </c>
      <c r="B217" s="20" t="s">
        <v>99</v>
      </c>
      <c r="C217" s="32" t="s">
        <v>102</v>
      </c>
      <c r="D217" s="32" t="s">
        <v>2134</v>
      </c>
    </row>
    <row r="218" spans="1:4" x14ac:dyDescent="0.3">
      <c r="A218" s="114">
        <v>41920</v>
      </c>
      <c r="B218" s="33" t="s">
        <v>1216</v>
      </c>
      <c r="C218" s="34" t="s">
        <v>1219</v>
      </c>
      <c r="D218" s="34" t="s">
        <v>2130</v>
      </c>
    </row>
    <row r="219" spans="1:4" x14ac:dyDescent="0.3">
      <c r="A219" s="113">
        <v>41949</v>
      </c>
      <c r="B219" s="35" t="s">
        <v>351</v>
      </c>
      <c r="C219" s="36" t="s">
        <v>353</v>
      </c>
      <c r="D219" s="36" t="s">
        <v>2191</v>
      </c>
    </row>
    <row r="220" spans="1:4" x14ac:dyDescent="0.3">
      <c r="A220" s="113">
        <v>41949</v>
      </c>
      <c r="B220" s="35" t="s">
        <v>354</v>
      </c>
      <c r="C220" s="36" t="s">
        <v>353</v>
      </c>
      <c r="D220" s="36" t="s">
        <v>2191</v>
      </c>
    </row>
    <row r="221" spans="1:4" x14ac:dyDescent="0.3">
      <c r="A221" s="113">
        <v>41949</v>
      </c>
      <c r="B221" s="35" t="s">
        <v>355</v>
      </c>
      <c r="C221" s="36" t="s">
        <v>353</v>
      </c>
      <c r="D221" s="36" t="s">
        <v>2191</v>
      </c>
    </row>
    <row r="222" spans="1:4" x14ac:dyDescent="0.3">
      <c r="A222" s="113">
        <v>41949</v>
      </c>
      <c r="B222" s="35" t="s">
        <v>356</v>
      </c>
      <c r="C222" s="36" t="s">
        <v>353</v>
      </c>
      <c r="D222" s="36" t="s">
        <v>2191</v>
      </c>
    </row>
    <row r="223" spans="1:4" x14ac:dyDescent="0.3">
      <c r="A223" s="113">
        <v>41949</v>
      </c>
      <c r="B223" s="35" t="s">
        <v>357</v>
      </c>
      <c r="C223" s="36" t="s">
        <v>353</v>
      </c>
      <c r="D223" s="36" t="s">
        <v>2191</v>
      </c>
    </row>
    <row r="224" spans="1:4" x14ac:dyDescent="0.3">
      <c r="A224" s="113">
        <v>41949</v>
      </c>
      <c r="B224" s="35" t="s">
        <v>358</v>
      </c>
      <c r="C224" s="36" t="s">
        <v>353</v>
      </c>
      <c r="D224" s="36" t="s">
        <v>2191</v>
      </c>
    </row>
    <row r="225" spans="1:4" x14ac:dyDescent="0.3">
      <c r="A225" s="113">
        <v>41949</v>
      </c>
      <c r="B225" s="35" t="s">
        <v>2143</v>
      </c>
      <c r="C225" s="36" t="s">
        <v>2189</v>
      </c>
      <c r="D225" s="36" t="s">
        <v>2190</v>
      </c>
    </row>
    <row r="226" spans="1:4" x14ac:dyDescent="0.3">
      <c r="A226" s="113">
        <v>41949</v>
      </c>
      <c r="B226" s="35" t="s">
        <v>2141</v>
      </c>
      <c r="C226" s="36" t="s">
        <v>2189</v>
      </c>
      <c r="D226" s="36" t="s">
        <v>2190</v>
      </c>
    </row>
    <row r="227" spans="1:4" x14ac:dyDescent="0.3">
      <c r="A227" s="113">
        <v>41949</v>
      </c>
      <c r="B227" s="35" t="s">
        <v>2144</v>
      </c>
      <c r="C227" s="36" t="s">
        <v>2189</v>
      </c>
      <c r="D227" s="36" t="s">
        <v>2190</v>
      </c>
    </row>
    <row r="228" spans="1:4" x14ac:dyDescent="0.3">
      <c r="A228" s="113">
        <v>41949</v>
      </c>
      <c r="B228" s="35" t="s">
        <v>2142</v>
      </c>
      <c r="C228" s="36" t="s">
        <v>2189</v>
      </c>
      <c r="D228" s="36" t="s">
        <v>2190</v>
      </c>
    </row>
    <row r="229" spans="1:4" x14ac:dyDescent="0.3">
      <c r="A229" s="105">
        <v>41989</v>
      </c>
      <c r="B229" s="21" t="s">
        <v>983</v>
      </c>
      <c r="C229" s="30" t="s">
        <v>972</v>
      </c>
      <c r="D229" s="30" t="s">
        <v>2260</v>
      </c>
    </row>
    <row r="230" spans="1:4" x14ac:dyDescent="0.3">
      <c r="A230" s="105">
        <v>41989</v>
      </c>
      <c r="B230" s="21" t="s">
        <v>2256</v>
      </c>
      <c r="C230" s="30" t="s">
        <v>966</v>
      </c>
      <c r="D230" s="30" t="s">
        <v>967</v>
      </c>
    </row>
    <row r="231" spans="1:4" x14ac:dyDescent="0.3">
      <c r="A231" s="105">
        <v>41989</v>
      </c>
      <c r="B231" s="21" t="s">
        <v>1401</v>
      </c>
      <c r="C231" s="30" t="s">
        <v>966</v>
      </c>
      <c r="D231" s="30" t="s">
        <v>967</v>
      </c>
    </row>
    <row r="232" spans="1:4" x14ac:dyDescent="0.3">
      <c r="A232" s="105">
        <v>41989</v>
      </c>
      <c r="B232" s="21" t="s">
        <v>1275</v>
      </c>
      <c r="C232" s="30" t="s">
        <v>1855</v>
      </c>
      <c r="D232" s="30" t="s">
        <v>2301</v>
      </c>
    </row>
    <row r="234" spans="1:4" x14ac:dyDescent="0.3">
      <c r="A234" s="5" t="s">
        <v>3836</v>
      </c>
      <c r="B234" s="5" t="str">
        <f>"Change in topic ("&amp;COUNTA(B235:B243)&amp;")"</f>
        <v>Change in topic (1)</v>
      </c>
      <c r="C234" s="5" t="s">
        <v>374</v>
      </c>
      <c r="D234" s="5" t="s">
        <v>375</v>
      </c>
    </row>
    <row r="235" spans="1:4" x14ac:dyDescent="0.3">
      <c r="A235" s="97">
        <v>41738</v>
      </c>
      <c r="B235" s="28" t="s">
        <v>2011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3D478-8BFE-42C8-A8EB-1ACD6D3A3B9E}">
  <dimension ref="A1:F324"/>
  <sheetViews>
    <sheetView workbookViewId="0"/>
  </sheetViews>
  <sheetFormatPr defaultRowHeight="14.4" x14ac:dyDescent="0.3"/>
  <cols>
    <col min="1" max="1" width="11.6640625" style="101" customWidth="1"/>
    <col min="2" max="2" width="25.44140625" customWidth="1"/>
    <col min="3" max="3" width="91.33203125" customWidth="1"/>
    <col min="4" max="4" width="81.6640625" customWidth="1"/>
    <col min="5" max="5" width="38.5546875" customWidth="1"/>
    <col min="6" max="6" width="41.88671875" customWidth="1"/>
  </cols>
  <sheetData>
    <row r="1" spans="1:6" x14ac:dyDescent="0.3">
      <c r="A1" s="5" t="s">
        <v>3836</v>
      </c>
      <c r="B1" s="4" t="str">
        <f>"Additions ("&amp;COUNTA(B2:B48)&amp;")"</f>
        <v>Additions (47)</v>
      </c>
      <c r="C1" s="5" t="s">
        <v>28</v>
      </c>
      <c r="D1" s="6" t="s">
        <v>29</v>
      </c>
      <c r="E1" s="5" t="s">
        <v>30</v>
      </c>
      <c r="F1" s="5" t="s">
        <v>31</v>
      </c>
    </row>
    <row r="2" spans="1:6" x14ac:dyDescent="0.3">
      <c r="A2" s="97">
        <v>41381</v>
      </c>
      <c r="B2" t="s">
        <v>32</v>
      </c>
      <c r="C2" t="s">
        <v>33</v>
      </c>
      <c r="D2" t="s">
        <v>34</v>
      </c>
      <c r="E2" t="s">
        <v>35</v>
      </c>
      <c r="F2" t="s">
        <v>36</v>
      </c>
    </row>
    <row r="3" spans="1:6" x14ac:dyDescent="0.3">
      <c r="A3" s="97">
        <v>41381</v>
      </c>
      <c r="B3" t="s">
        <v>1533</v>
      </c>
      <c r="C3" t="s">
        <v>1534</v>
      </c>
      <c r="D3" t="s">
        <v>1583</v>
      </c>
      <c r="E3" t="s">
        <v>37</v>
      </c>
      <c r="F3" t="s">
        <v>38</v>
      </c>
    </row>
    <row r="4" spans="1:6" x14ac:dyDescent="0.3">
      <c r="A4" s="97">
        <v>41381</v>
      </c>
      <c r="B4" t="s">
        <v>1535</v>
      </c>
      <c r="C4" t="s">
        <v>1536</v>
      </c>
      <c r="D4" t="s">
        <v>1537</v>
      </c>
      <c r="E4" t="s">
        <v>37</v>
      </c>
      <c r="F4" t="s">
        <v>38</v>
      </c>
    </row>
    <row r="5" spans="1:6" x14ac:dyDescent="0.3">
      <c r="A5" s="97">
        <v>41381</v>
      </c>
      <c r="B5" t="s">
        <v>1538</v>
      </c>
      <c r="C5" t="s">
        <v>1539</v>
      </c>
      <c r="D5" t="s">
        <v>1540</v>
      </c>
      <c r="E5" t="s">
        <v>39</v>
      </c>
      <c r="F5" t="s">
        <v>1541</v>
      </c>
    </row>
    <row r="6" spans="1:6" x14ac:dyDescent="0.3">
      <c r="A6" s="97">
        <v>41381</v>
      </c>
      <c r="B6" t="s">
        <v>1542</v>
      </c>
      <c r="C6" t="s">
        <v>1543</v>
      </c>
      <c r="D6" t="s">
        <v>1544</v>
      </c>
      <c r="E6" t="s">
        <v>1545</v>
      </c>
      <c r="F6" t="s">
        <v>1546</v>
      </c>
    </row>
    <row r="7" spans="1:6" x14ac:dyDescent="0.3">
      <c r="A7" s="97">
        <v>41381</v>
      </c>
      <c r="B7" t="s">
        <v>1547</v>
      </c>
      <c r="C7" t="s">
        <v>1548</v>
      </c>
      <c r="D7" t="s">
        <v>1549</v>
      </c>
      <c r="E7" t="s">
        <v>39</v>
      </c>
      <c r="F7" t="s">
        <v>1541</v>
      </c>
    </row>
    <row r="8" spans="1:6" x14ac:dyDescent="0.3">
      <c r="A8" s="97">
        <v>41381</v>
      </c>
      <c r="B8" t="s">
        <v>1550</v>
      </c>
      <c r="C8" t="s">
        <v>1551</v>
      </c>
      <c r="D8" t="s">
        <v>1552</v>
      </c>
      <c r="E8" t="s">
        <v>1545</v>
      </c>
      <c r="F8" t="s">
        <v>1546</v>
      </c>
    </row>
    <row r="9" spans="1:6" x14ac:dyDescent="0.3">
      <c r="A9" s="97">
        <v>41381</v>
      </c>
      <c r="B9" t="s">
        <v>1553</v>
      </c>
      <c r="C9" t="s">
        <v>1554</v>
      </c>
      <c r="D9" t="s">
        <v>1555</v>
      </c>
      <c r="E9" t="s">
        <v>40</v>
      </c>
      <c r="F9" t="s">
        <v>41</v>
      </c>
    </row>
    <row r="10" spans="1:6" x14ac:dyDescent="0.3">
      <c r="A10" s="97">
        <v>41381</v>
      </c>
      <c r="B10" t="s">
        <v>42</v>
      </c>
      <c r="C10" t="s">
        <v>43</v>
      </c>
      <c r="D10" t="s">
        <v>44</v>
      </c>
      <c r="E10" t="s">
        <v>45</v>
      </c>
      <c r="F10" t="s">
        <v>46</v>
      </c>
    </row>
    <row r="11" spans="1:6" x14ac:dyDescent="0.3">
      <c r="A11" s="97">
        <v>41381</v>
      </c>
      <c r="B11" t="s">
        <v>47</v>
      </c>
      <c r="C11" t="s">
        <v>48</v>
      </c>
      <c r="D11" t="s">
        <v>49</v>
      </c>
      <c r="E11" t="s">
        <v>45</v>
      </c>
      <c r="F11" t="s">
        <v>46</v>
      </c>
    </row>
    <row r="12" spans="1:6" x14ac:dyDescent="0.3">
      <c r="A12" s="97">
        <v>41381</v>
      </c>
      <c r="B12" t="s">
        <v>50</v>
      </c>
      <c r="C12" t="s">
        <v>51</v>
      </c>
      <c r="D12" t="s">
        <v>52</v>
      </c>
      <c r="E12" t="s">
        <v>45</v>
      </c>
      <c r="F12" t="s">
        <v>46</v>
      </c>
    </row>
    <row r="13" spans="1:6" x14ac:dyDescent="0.3">
      <c r="A13" s="97">
        <v>41381</v>
      </c>
      <c r="B13" t="s">
        <v>53</v>
      </c>
      <c r="C13" t="s">
        <v>54</v>
      </c>
      <c r="D13" t="s">
        <v>55</v>
      </c>
      <c r="E13" s="20" t="str">
        <f>VLOOKUP(B13,$B$250:$D$316,3,FALSE)</f>
        <v>Estimates developed by the UN Inter-agency Group for Child Mortality Estimation (UNICEF, WHO, World Bank, UN DESA Population Division) at www.childmortality.org.</v>
      </c>
      <c r="F13" t="s">
        <v>57</v>
      </c>
    </row>
    <row r="14" spans="1:6" x14ac:dyDescent="0.3">
      <c r="A14" s="97">
        <v>41381</v>
      </c>
      <c r="B14" t="s">
        <v>58</v>
      </c>
      <c r="C14" t="s">
        <v>59</v>
      </c>
      <c r="D14" t="s">
        <v>55</v>
      </c>
      <c r="E14" s="20" t="str">
        <f>VLOOKUP(B14,$B$250:$D$316,3,FALSE)</f>
        <v>Estimates developed by the UN Inter-agency Group for Child Mortality Estimation (UNICEF, WHO, World Bank, UN DESA Population Division) at www.childmortality.org.</v>
      </c>
      <c r="F14" t="s">
        <v>57</v>
      </c>
    </row>
    <row r="15" spans="1:6" x14ac:dyDescent="0.3">
      <c r="A15" s="97">
        <v>41381</v>
      </c>
      <c r="B15" t="s">
        <v>60</v>
      </c>
      <c r="C15" t="s">
        <v>61</v>
      </c>
      <c r="D15" t="s">
        <v>62</v>
      </c>
      <c r="E15" t="s">
        <v>40</v>
      </c>
      <c r="F15" t="s">
        <v>41</v>
      </c>
    </row>
    <row r="16" spans="1:6" x14ac:dyDescent="0.3">
      <c r="A16" s="97">
        <v>41381</v>
      </c>
      <c r="B16" t="s">
        <v>63</v>
      </c>
      <c r="C16" t="s">
        <v>64</v>
      </c>
      <c r="D16" t="s">
        <v>65</v>
      </c>
      <c r="E16" t="s">
        <v>66</v>
      </c>
      <c r="F16" t="s">
        <v>46</v>
      </c>
    </row>
    <row r="17" spans="1:6" x14ac:dyDescent="0.3">
      <c r="A17" s="97">
        <v>41381</v>
      </c>
      <c r="B17" t="s">
        <v>67</v>
      </c>
      <c r="C17" t="s">
        <v>68</v>
      </c>
      <c r="D17" t="s">
        <v>69</v>
      </c>
      <c r="E17" s="20" t="str">
        <f t="shared" ref="E17:E24" si="0">VLOOKUP(B17,$B$250:$D$316,3,FALSE)</f>
        <v>World Health Organization, Global Database on Child Growth and Malnutrition. Country-level data are unadjusted data from national surveys, and thus may not be comparable across countries.</v>
      </c>
      <c r="F17" t="s">
        <v>41</v>
      </c>
    </row>
    <row r="18" spans="1:6" x14ac:dyDescent="0.3">
      <c r="A18" s="97">
        <v>41381</v>
      </c>
      <c r="B18" t="s">
        <v>71</v>
      </c>
      <c r="C18" t="s">
        <v>72</v>
      </c>
      <c r="D18" t="s">
        <v>69</v>
      </c>
      <c r="E18" s="20" t="str">
        <f t="shared" si="0"/>
        <v>World Health Organization, Global Database on Child Growth and Malnutrition. Country-level data are unadjusted data from national surveys, and thus may not be comparable across countries.</v>
      </c>
      <c r="F18" t="s">
        <v>41</v>
      </c>
    </row>
    <row r="19" spans="1:6" x14ac:dyDescent="0.3">
      <c r="A19" s="97">
        <v>41381</v>
      </c>
      <c r="B19" t="s">
        <v>73</v>
      </c>
      <c r="C19" t="s">
        <v>74</v>
      </c>
      <c r="D19" t="s">
        <v>75</v>
      </c>
      <c r="E19" s="20" t="str">
        <f t="shared" si="0"/>
        <v>World Health Organization, Global Database on Child Growth and Malnutrition. Country-level data are unadjusted data from national surveys, and thus may not be comparable across countries.</v>
      </c>
      <c r="F19" t="s">
        <v>41</v>
      </c>
    </row>
    <row r="20" spans="1:6" x14ac:dyDescent="0.3">
      <c r="A20" s="97">
        <v>41381</v>
      </c>
      <c r="B20" t="s">
        <v>76</v>
      </c>
      <c r="C20" t="s">
        <v>77</v>
      </c>
      <c r="D20" t="s">
        <v>75</v>
      </c>
      <c r="E20" s="20" t="str">
        <f t="shared" si="0"/>
        <v>World Health Organization, Global Database on Child Growth and Malnutrition. Country-level data are unadjusted data from national surveys, and thus may not be comparable across countries.</v>
      </c>
      <c r="F20" t="s">
        <v>41</v>
      </c>
    </row>
    <row r="21" spans="1:6" x14ac:dyDescent="0.3">
      <c r="A21" s="97">
        <v>41381</v>
      </c>
      <c r="B21" t="s">
        <v>78</v>
      </c>
      <c r="C21" t="s">
        <v>79</v>
      </c>
      <c r="D21" t="s">
        <v>80</v>
      </c>
      <c r="E21" s="20" t="str">
        <f t="shared" si="0"/>
        <v>World Health Organization, Global Database on Child Growth and Malnutrition. Country-level data are unadjusted data from national surveys, and thus may not be comparable across countries.</v>
      </c>
      <c r="F21" t="s">
        <v>41</v>
      </c>
    </row>
    <row r="22" spans="1:6" x14ac:dyDescent="0.3">
      <c r="A22" s="97">
        <v>41381</v>
      </c>
      <c r="B22" t="s">
        <v>81</v>
      </c>
      <c r="C22" t="s">
        <v>82</v>
      </c>
      <c r="D22" t="s">
        <v>80</v>
      </c>
      <c r="E22" s="20" t="str">
        <f t="shared" si="0"/>
        <v>World Health Organization, Global Database on Child Growth and Malnutrition. Country-level data are unadjusted data from national surveys, and thus may not be comparable across countries.</v>
      </c>
      <c r="F22" t="s">
        <v>41</v>
      </c>
    </row>
    <row r="23" spans="1:6" x14ac:dyDescent="0.3">
      <c r="A23" s="97">
        <v>41381</v>
      </c>
      <c r="B23" t="s">
        <v>83</v>
      </c>
      <c r="C23" t="s">
        <v>84</v>
      </c>
      <c r="D23" t="s">
        <v>85</v>
      </c>
      <c r="E23" s="20" t="str">
        <f t="shared" si="0"/>
        <v>World Health Organization, Global Database on Child Growth and Malnutrition. Country-level data are unadjusted data from national surveys, and thus may not be comparable across countries.</v>
      </c>
      <c r="F23" t="s">
        <v>41</v>
      </c>
    </row>
    <row r="24" spans="1:6" x14ac:dyDescent="0.3">
      <c r="A24" s="97">
        <v>41381</v>
      </c>
      <c r="B24" t="s">
        <v>86</v>
      </c>
      <c r="C24" t="s">
        <v>87</v>
      </c>
      <c r="D24" t="s">
        <v>85</v>
      </c>
      <c r="E24" s="20" t="str">
        <f t="shared" si="0"/>
        <v>World Health Organization, Global Database on Child Growth and Malnutrition. Country-level data are unadjusted data from national surveys, and thus may not be comparable across countries.</v>
      </c>
      <c r="F24" t="s">
        <v>41</v>
      </c>
    </row>
    <row r="25" spans="1:6" x14ac:dyDescent="0.3">
      <c r="A25" s="97">
        <v>41381</v>
      </c>
      <c r="B25" t="s">
        <v>88</v>
      </c>
      <c r="C25" t="s">
        <v>89</v>
      </c>
      <c r="D25" t="s">
        <v>90</v>
      </c>
      <c r="E25" t="s">
        <v>91</v>
      </c>
      <c r="F25" t="s">
        <v>92</v>
      </c>
    </row>
    <row r="26" spans="1:6" x14ac:dyDescent="0.3">
      <c r="A26" s="97">
        <v>41381</v>
      </c>
      <c r="B26" t="s">
        <v>93</v>
      </c>
      <c r="C26" t="s">
        <v>94</v>
      </c>
      <c r="D26" t="s">
        <v>95</v>
      </c>
      <c r="E26" t="s">
        <v>91</v>
      </c>
      <c r="F26" t="s">
        <v>92</v>
      </c>
    </row>
    <row r="27" spans="1:6" x14ac:dyDescent="0.3">
      <c r="A27" s="97">
        <v>41381</v>
      </c>
      <c r="B27" t="s">
        <v>433</v>
      </c>
      <c r="C27" t="s">
        <v>434</v>
      </c>
      <c r="D27" t="s">
        <v>435</v>
      </c>
      <c r="E27" t="s">
        <v>436</v>
      </c>
      <c r="F27" t="s">
        <v>437</v>
      </c>
    </row>
    <row r="28" spans="1:6" x14ac:dyDescent="0.3">
      <c r="A28" s="97">
        <v>41381</v>
      </c>
      <c r="B28" t="s">
        <v>438</v>
      </c>
      <c r="C28" t="s">
        <v>439</v>
      </c>
      <c r="D28" t="s">
        <v>435</v>
      </c>
      <c r="E28" t="s">
        <v>436</v>
      </c>
      <c r="F28" t="s">
        <v>437</v>
      </c>
    </row>
    <row r="29" spans="1:6" x14ac:dyDescent="0.3">
      <c r="A29" s="97">
        <v>41381</v>
      </c>
      <c r="B29" t="s">
        <v>440</v>
      </c>
      <c r="C29" t="s">
        <v>441</v>
      </c>
      <c r="D29" t="s">
        <v>435</v>
      </c>
      <c r="E29" t="s">
        <v>436</v>
      </c>
      <c r="F29" t="s">
        <v>437</v>
      </c>
    </row>
    <row r="30" spans="1:6" x14ac:dyDescent="0.3">
      <c r="A30" s="97">
        <v>41381</v>
      </c>
      <c r="B30" t="s">
        <v>96</v>
      </c>
      <c r="C30" t="s">
        <v>97</v>
      </c>
      <c r="D30" t="s">
        <v>98</v>
      </c>
      <c r="E30" t="s">
        <v>91</v>
      </c>
      <c r="F30" t="s">
        <v>92</v>
      </c>
    </row>
    <row r="31" spans="1:6" x14ac:dyDescent="0.3">
      <c r="A31" s="97">
        <v>41381</v>
      </c>
      <c r="B31" t="s">
        <v>99</v>
      </c>
      <c r="C31" t="s">
        <v>100</v>
      </c>
      <c r="D31" t="s">
        <v>101</v>
      </c>
      <c r="E31" t="s">
        <v>102</v>
      </c>
      <c r="F31" t="s">
        <v>41</v>
      </c>
    </row>
    <row r="32" spans="1:6" s="10" customFormat="1" x14ac:dyDescent="0.3">
      <c r="A32" s="102">
        <v>41457</v>
      </c>
      <c r="B32" s="118" t="s">
        <v>1586</v>
      </c>
      <c r="C32" s="118" t="s">
        <v>1587</v>
      </c>
      <c r="D32" s="118" t="s">
        <v>1588</v>
      </c>
      <c r="E32" s="118" t="s">
        <v>1560</v>
      </c>
      <c r="F32" s="118" t="s">
        <v>1561</v>
      </c>
    </row>
    <row r="33" spans="1:6" s="10" customFormat="1" x14ac:dyDescent="0.3">
      <c r="A33" s="102">
        <v>41457</v>
      </c>
      <c r="B33" s="118" t="s">
        <v>1589</v>
      </c>
      <c r="C33" s="118" t="s">
        <v>1590</v>
      </c>
      <c r="D33" s="118" t="s">
        <v>1588</v>
      </c>
      <c r="E33" s="118" t="s">
        <v>1560</v>
      </c>
      <c r="F33" s="118" t="s">
        <v>1561</v>
      </c>
    </row>
    <row r="34" spans="1:6" s="11" customFormat="1" x14ac:dyDescent="0.3">
      <c r="A34" s="105">
        <v>41530</v>
      </c>
      <c r="B34" s="31" t="s">
        <v>1798</v>
      </c>
      <c r="C34" s="31" t="s">
        <v>1802</v>
      </c>
      <c r="D34" s="31" t="s">
        <v>1830</v>
      </c>
      <c r="E34" s="31" t="s">
        <v>1795</v>
      </c>
      <c r="F34" s="31" t="s">
        <v>57</v>
      </c>
    </row>
    <row r="35" spans="1:6" s="11" customFormat="1" x14ac:dyDescent="0.3">
      <c r="A35" s="105">
        <v>41530</v>
      </c>
      <c r="B35" s="31" t="s">
        <v>1799</v>
      </c>
      <c r="C35" s="31" t="s">
        <v>1803</v>
      </c>
      <c r="D35" s="31" t="s">
        <v>1830</v>
      </c>
      <c r="E35" s="31" t="s">
        <v>1795</v>
      </c>
      <c r="F35" s="31" t="s">
        <v>57</v>
      </c>
    </row>
    <row r="36" spans="1:6" s="11" customFormat="1" x14ac:dyDescent="0.3">
      <c r="A36" s="105">
        <v>41530</v>
      </c>
      <c r="B36" s="31" t="s">
        <v>1804</v>
      </c>
      <c r="C36" s="31" t="s">
        <v>1805</v>
      </c>
      <c r="D36" s="31" t="s">
        <v>1831</v>
      </c>
      <c r="E36" s="31" t="s">
        <v>330</v>
      </c>
      <c r="F36" s="31" t="s">
        <v>427</v>
      </c>
    </row>
    <row r="37" spans="1:6" s="11" customFormat="1" x14ac:dyDescent="0.3">
      <c r="A37" s="105">
        <v>41530</v>
      </c>
      <c r="B37" s="31" t="s">
        <v>1806</v>
      </c>
      <c r="C37" s="31" t="s">
        <v>1807</v>
      </c>
      <c r="D37" s="31" t="s">
        <v>1832</v>
      </c>
      <c r="E37" s="31" t="s">
        <v>1833</v>
      </c>
      <c r="F37" s="31" t="s">
        <v>1834</v>
      </c>
    </row>
    <row r="38" spans="1:6" s="11" customFormat="1" x14ac:dyDescent="0.3">
      <c r="A38" s="105">
        <v>41530</v>
      </c>
      <c r="B38" s="31" t="s">
        <v>1808</v>
      </c>
      <c r="C38" s="31" t="s">
        <v>1809</v>
      </c>
      <c r="D38" s="31" t="s">
        <v>1835</v>
      </c>
      <c r="E38" s="31" t="s">
        <v>1833</v>
      </c>
      <c r="F38" s="31" t="s">
        <v>1834</v>
      </c>
    </row>
    <row r="39" spans="1:6" s="11" customFormat="1" x14ac:dyDescent="0.3">
      <c r="A39" s="105">
        <v>41530</v>
      </c>
      <c r="B39" s="31" t="s">
        <v>1810</v>
      </c>
      <c r="C39" s="31" t="s">
        <v>1811</v>
      </c>
      <c r="D39" s="31" t="s">
        <v>1836</v>
      </c>
      <c r="E39" s="31" t="s">
        <v>1833</v>
      </c>
      <c r="F39" s="31" t="s">
        <v>1834</v>
      </c>
    </row>
    <row r="40" spans="1:6" s="11" customFormat="1" x14ac:dyDescent="0.3">
      <c r="A40" s="105">
        <v>41530</v>
      </c>
      <c r="B40" s="31" t="s">
        <v>1812</v>
      </c>
      <c r="C40" s="31" t="s">
        <v>1813</v>
      </c>
      <c r="D40" s="31" t="s">
        <v>1837</v>
      </c>
      <c r="E40" s="31" t="s">
        <v>1833</v>
      </c>
      <c r="F40" s="31" t="s">
        <v>1834</v>
      </c>
    </row>
    <row r="41" spans="1:6" s="11" customFormat="1" x14ac:dyDescent="0.3">
      <c r="A41" s="105">
        <v>41530</v>
      </c>
      <c r="B41" s="31" t="s">
        <v>1814</v>
      </c>
      <c r="C41" s="31" t="s">
        <v>1815</v>
      </c>
      <c r="D41" s="31" t="s">
        <v>1838</v>
      </c>
      <c r="E41" s="31" t="s">
        <v>1833</v>
      </c>
      <c r="F41" s="31" t="s">
        <v>1834</v>
      </c>
    </row>
    <row r="42" spans="1:6" s="11" customFormat="1" x14ac:dyDescent="0.3">
      <c r="A42" s="105">
        <v>41530</v>
      </c>
      <c r="B42" s="31" t="s">
        <v>1816</v>
      </c>
      <c r="C42" s="31" t="s">
        <v>1817</v>
      </c>
      <c r="D42" s="31" t="s">
        <v>1839</v>
      </c>
      <c r="E42" s="31" t="s">
        <v>1833</v>
      </c>
      <c r="F42" s="31" t="s">
        <v>1834</v>
      </c>
    </row>
    <row r="43" spans="1:6" s="11" customFormat="1" x14ac:dyDescent="0.3">
      <c r="A43" s="105">
        <v>41530</v>
      </c>
      <c r="B43" s="31" t="s">
        <v>1818</v>
      </c>
      <c r="C43" s="31" t="s">
        <v>1819</v>
      </c>
      <c r="D43" s="31" t="s">
        <v>1840</v>
      </c>
      <c r="E43" s="31" t="s">
        <v>1833</v>
      </c>
      <c r="F43" s="31" t="s">
        <v>1834</v>
      </c>
    </row>
    <row r="44" spans="1:6" s="11" customFormat="1" x14ac:dyDescent="0.3">
      <c r="A44" s="105">
        <v>41530</v>
      </c>
      <c r="B44" s="31" t="s">
        <v>1820</v>
      </c>
      <c r="C44" s="31" t="s">
        <v>1821</v>
      </c>
      <c r="D44" s="31" t="s">
        <v>1841</v>
      </c>
      <c r="E44" s="31" t="s">
        <v>1833</v>
      </c>
      <c r="F44" s="31" t="s">
        <v>1834</v>
      </c>
    </row>
    <row r="45" spans="1:6" s="11" customFormat="1" x14ac:dyDescent="0.3">
      <c r="A45" s="105">
        <v>41530</v>
      </c>
      <c r="B45" s="31" t="s">
        <v>1822</v>
      </c>
      <c r="C45" s="31" t="s">
        <v>1823</v>
      </c>
      <c r="D45" s="31" t="s">
        <v>1842</v>
      </c>
      <c r="E45" s="31" t="s">
        <v>1833</v>
      </c>
      <c r="F45" s="31" t="s">
        <v>1834</v>
      </c>
    </row>
    <row r="46" spans="1:6" s="11" customFormat="1" x14ac:dyDescent="0.3">
      <c r="A46" s="105">
        <v>41530</v>
      </c>
      <c r="B46" s="31" t="s">
        <v>1824</v>
      </c>
      <c r="C46" s="31" t="s">
        <v>1825</v>
      </c>
      <c r="D46" s="31" t="s">
        <v>1843</v>
      </c>
      <c r="E46" s="31" t="s">
        <v>1833</v>
      </c>
      <c r="F46" s="31" t="s">
        <v>1834</v>
      </c>
    </row>
    <row r="47" spans="1:6" s="11" customFormat="1" x14ac:dyDescent="0.3">
      <c r="A47" s="105">
        <v>41530</v>
      </c>
      <c r="B47" s="31" t="s">
        <v>1826</v>
      </c>
      <c r="C47" s="31" t="s">
        <v>1827</v>
      </c>
      <c r="D47" s="31" t="s">
        <v>1844</v>
      </c>
      <c r="E47" s="31" t="s">
        <v>1833</v>
      </c>
      <c r="F47" s="31" t="s">
        <v>1834</v>
      </c>
    </row>
    <row r="48" spans="1:6" s="11" customFormat="1" x14ac:dyDescent="0.3">
      <c r="A48" s="105">
        <v>41530</v>
      </c>
      <c r="B48" s="31" t="s">
        <v>1828</v>
      </c>
      <c r="C48" s="31" t="s">
        <v>1829</v>
      </c>
      <c r="D48" s="31" t="s">
        <v>1845</v>
      </c>
      <c r="E48" s="31" t="s">
        <v>1833</v>
      </c>
      <c r="F48" s="31" t="s">
        <v>1834</v>
      </c>
    </row>
    <row r="50" spans="1:5" x14ac:dyDescent="0.3">
      <c r="A50" s="5" t="s">
        <v>3836</v>
      </c>
      <c r="B50" s="6" t="str">
        <f>"Deletions ("&amp;COUNTA(B51:B59)&amp;")"</f>
        <v>Deletions (9)</v>
      </c>
      <c r="C50" s="5" t="s">
        <v>28</v>
      </c>
      <c r="D50" s="8"/>
      <c r="E50" s="7"/>
    </row>
    <row r="51" spans="1:5" x14ac:dyDescent="0.3">
      <c r="A51" s="97">
        <v>41381</v>
      </c>
      <c r="B51" t="s">
        <v>103</v>
      </c>
      <c r="C51" t="s">
        <v>104</v>
      </c>
    </row>
    <row r="52" spans="1:5" x14ac:dyDescent="0.3">
      <c r="A52" s="97">
        <v>41381</v>
      </c>
      <c r="B52" t="s">
        <v>105</v>
      </c>
      <c r="C52" t="s">
        <v>106</v>
      </c>
    </row>
    <row r="53" spans="1:5" x14ac:dyDescent="0.3">
      <c r="A53" s="97">
        <v>41381</v>
      </c>
      <c r="B53" t="s">
        <v>107</v>
      </c>
      <c r="C53" t="s">
        <v>108</v>
      </c>
    </row>
    <row r="54" spans="1:5" x14ac:dyDescent="0.3">
      <c r="A54" s="97">
        <v>41381</v>
      </c>
      <c r="B54" t="s">
        <v>109</v>
      </c>
      <c r="C54" t="s">
        <v>110</v>
      </c>
    </row>
    <row r="55" spans="1:5" x14ac:dyDescent="0.3">
      <c r="A55" s="97">
        <v>41381</v>
      </c>
      <c r="B55" t="s">
        <v>111</v>
      </c>
      <c r="C55" t="s">
        <v>112</v>
      </c>
    </row>
    <row r="56" spans="1:5" x14ac:dyDescent="0.3">
      <c r="A56" s="105">
        <v>41530</v>
      </c>
      <c r="B56" s="21" t="s">
        <v>317</v>
      </c>
      <c r="C56" s="21" t="s">
        <v>1846</v>
      </c>
    </row>
    <row r="57" spans="1:5" x14ac:dyDescent="0.3">
      <c r="A57" s="105">
        <v>41530</v>
      </c>
      <c r="B57" s="21" t="s">
        <v>320</v>
      </c>
      <c r="C57" s="21" t="s">
        <v>1847</v>
      </c>
    </row>
    <row r="58" spans="1:5" x14ac:dyDescent="0.3">
      <c r="A58" s="105">
        <v>41530</v>
      </c>
      <c r="B58" s="21" t="s">
        <v>1325</v>
      </c>
      <c r="C58" s="21" t="s">
        <v>1326</v>
      </c>
    </row>
    <row r="59" spans="1:5" x14ac:dyDescent="0.3">
      <c r="A59" s="105">
        <v>41530</v>
      </c>
      <c r="B59" s="21" t="s">
        <v>1848</v>
      </c>
      <c r="C59" s="21" t="s">
        <v>1849</v>
      </c>
    </row>
    <row r="61" spans="1:5" x14ac:dyDescent="0.3">
      <c r="A61" s="5" t="s">
        <v>3836</v>
      </c>
      <c r="B61" s="6" t="s">
        <v>113</v>
      </c>
      <c r="C61" s="6" t="s">
        <v>28</v>
      </c>
      <c r="D61" s="6" t="s">
        <v>114</v>
      </c>
    </row>
    <row r="62" spans="1:5" x14ac:dyDescent="0.3">
      <c r="B62" s="7"/>
      <c r="C62" s="7"/>
    </row>
    <row r="63" spans="1:5" x14ac:dyDescent="0.3">
      <c r="A63" s="5" t="s">
        <v>3836</v>
      </c>
      <c r="B63" s="6" t="str">
        <f>"Change in description ("&amp;COUNTA(B64:B118)&amp;")"</f>
        <v>Change in description (55)</v>
      </c>
      <c r="C63" s="6" t="s">
        <v>115</v>
      </c>
      <c r="D63" s="6" t="s">
        <v>116</v>
      </c>
    </row>
    <row r="64" spans="1:5" x14ac:dyDescent="0.3">
      <c r="A64" s="97">
        <v>41381</v>
      </c>
      <c r="B64" t="s">
        <v>117</v>
      </c>
      <c r="C64" t="s">
        <v>118</v>
      </c>
      <c r="D64" t="s">
        <v>119</v>
      </c>
    </row>
    <row r="65" spans="1:4" x14ac:dyDescent="0.3">
      <c r="A65" s="97">
        <v>41381</v>
      </c>
      <c r="B65" t="s">
        <v>120</v>
      </c>
      <c r="C65" t="s">
        <v>121</v>
      </c>
      <c r="D65" t="s">
        <v>122</v>
      </c>
    </row>
    <row r="66" spans="1:4" x14ac:dyDescent="0.3">
      <c r="A66" s="97">
        <v>41381</v>
      </c>
      <c r="B66" t="s">
        <v>123</v>
      </c>
      <c r="C66" t="s">
        <v>124</v>
      </c>
      <c r="D66" t="s">
        <v>125</v>
      </c>
    </row>
    <row r="67" spans="1:4" x14ac:dyDescent="0.3">
      <c r="A67" s="97">
        <v>41381</v>
      </c>
      <c r="B67" t="s">
        <v>126</v>
      </c>
      <c r="C67" t="s">
        <v>127</v>
      </c>
      <c r="D67" t="s">
        <v>128</v>
      </c>
    </row>
    <row r="68" spans="1:4" x14ac:dyDescent="0.3">
      <c r="A68" s="97">
        <v>41381</v>
      </c>
      <c r="B68" t="s">
        <v>129</v>
      </c>
      <c r="C68" t="s">
        <v>130</v>
      </c>
      <c r="D68" t="s">
        <v>131</v>
      </c>
    </row>
    <row r="69" spans="1:4" x14ac:dyDescent="0.3">
      <c r="A69" s="97">
        <v>41381</v>
      </c>
      <c r="B69" t="s">
        <v>132</v>
      </c>
      <c r="C69" t="s">
        <v>133</v>
      </c>
      <c r="D69" t="s">
        <v>134</v>
      </c>
    </row>
    <row r="70" spans="1:4" x14ac:dyDescent="0.3">
      <c r="A70" s="97">
        <v>41381</v>
      </c>
      <c r="B70" t="s">
        <v>135</v>
      </c>
      <c r="C70" t="s">
        <v>136</v>
      </c>
      <c r="D70" t="s">
        <v>137</v>
      </c>
    </row>
    <row r="71" spans="1:4" x14ac:dyDescent="0.3">
      <c r="A71" s="97">
        <v>41381</v>
      </c>
      <c r="B71" t="s">
        <v>138</v>
      </c>
      <c r="C71" t="s">
        <v>139</v>
      </c>
      <c r="D71" t="s">
        <v>140</v>
      </c>
    </row>
    <row r="72" spans="1:4" x14ac:dyDescent="0.3">
      <c r="A72" s="97">
        <v>41381</v>
      </c>
      <c r="B72" t="s">
        <v>141</v>
      </c>
      <c r="C72" t="s">
        <v>142</v>
      </c>
      <c r="D72" t="s">
        <v>143</v>
      </c>
    </row>
    <row r="73" spans="1:4" x14ac:dyDescent="0.3">
      <c r="A73" s="97">
        <v>41381</v>
      </c>
      <c r="B73" t="s">
        <v>144</v>
      </c>
      <c r="C73" t="s">
        <v>145</v>
      </c>
      <c r="D73" t="s">
        <v>146</v>
      </c>
    </row>
    <row r="74" spans="1:4" x14ac:dyDescent="0.3">
      <c r="A74" s="97">
        <v>41381</v>
      </c>
      <c r="B74" t="s">
        <v>147</v>
      </c>
      <c r="C74" t="s">
        <v>148</v>
      </c>
      <c r="D74" t="s">
        <v>149</v>
      </c>
    </row>
    <row r="75" spans="1:4" x14ac:dyDescent="0.3">
      <c r="A75" s="97">
        <v>41381</v>
      </c>
      <c r="B75" t="s">
        <v>150</v>
      </c>
      <c r="C75" t="s">
        <v>151</v>
      </c>
      <c r="D75" t="s">
        <v>152</v>
      </c>
    </row>
    <row r="76" spans="1:4" x14ac:dyDescent="0.3">
      <c r="A76" s="97">
        <v>41381</v>
      </c>
      <c r="B76" t="s">
        <v>153</v>
      </c>
      <c r="C76" t="s">
        <v>154</v>
      </c>
      <c r="D76" t="s">
        <v>155</v>
      </c>
    </row>
    <row r="77" spans="1:4" x14ac:dyDescent="0.3">
      <c r="A77" s="97">
        <v>41381</v>
      </c>
      <c r="B77" t="s">
        <v>156</v>
      </c>
      <c r="C77" t="s">
        <v>157</v>
      </c>
      <c r="D77" t="s">
        <v>158</v>
      </c>
    </row>
    <row r="78" spans="1:4" x14ac:dyDescent="0.3">
      <c r="A78" s="97">
        <v>41381</v>
      </c>
      <c r="B78" t="s">
        <v>159</v>
      </c>
      <c r="C78" t="s">
        <v>160</v>
      </c>
      <c r="D78" t="s">
        <v>161</v>
      </c>
    </row>
    <row r="79" spans="1:4" x14ac:dyDescent="0.3">
      <c r="A79" s="97">
        <v>41381</v>
      </c>
      <c r="B79" t="s">
        <v>162</v>
      </c>
      <c r="C79" t="s">
        <v>163</v>
      </c>
      <c r="D79" t="s">
        <v>164</v>
      </c>
    </row>
    <row r="80" spans="1:4" x14ac:dyDescent="0.3">
      <c r="A80" s="97">
        <v>41381</v>
      </c>
      <c r="B80" t="s">
        <v>165</v>
      </c>
      <c r="C80" t="s">
        <v>166</v>
      </c>
      <c r="D80" t="s">
        <v>167</v>
      </c>
    </row>
    <row r="81" spans="1:4" x14ac:dyDescent="0.3">
      <c r="A81" s="97">
        <v>41381</v>
      </c>
      <c r="B81" t="s">
        <v>168</v>
      </c>
      <c r="C81" t="s">
        <v>169</v>
      </c>
      <c r="D81" t="s">
        <v>170</v>
      </c>
    </row>
    <row r="82" spans="1:4" x14ac:dyDescent="0.3">
      <c r="A82" s="97">
        <v>41381</v>
      </c>
      <c r="B82" t="s">
        <v>171</v>
      </c>
      <c r="C82" t="s">
        <v>172</v>
      </c>
      <c r="D82" t="s">
        <v>173</v>
      </c>
    </row>
    <row r="83" spans="1:4" x14ac:dyDescent="0.3">
      <c r="A83" s="97">
        <v>41381</v>
      </c>
      <c r="B83" t="s">
        <v>177</v>
      </c>
      <c r="C83" t="s">
        <v>178</v>
      </c>
      <c r="D83" t="s">
        <v>179</v>
      </c>
    </row>
    <row r="84" spans="1:4" x14ac:dyDescent="0.3">
      <c r="A84" s="97">
        <v>41381</v>
      </c>
      <c r="B84" t="s">
        <v>174</v>
      </c>
      <c r="C84" t="s">
        <v>175</v>
      </c>
      <c r="D84" t="s">
        <v>176</v>
      </c>
    </row>
    <row r="85" spans="1:4" x14ac:dyDescent="0.3">
      <c r="A85" s="97">
        <v>41381</v>
      </c>
      <c r="B85" t="s">
        <v>180</v>
      </c>
      <c r="C85" t="s">
        <v>181</v>
      </c>
      <c r="D85" t="s">
        <v>182</v>
      </c>
    </row>
    <row r="86" spans="1:4" x14ac:dyDescent="0.3">
      <c r="A86" s="97">
        <v>41381</v>
      </c>
      <c r="B86" t="s">
        <v>183</v>
      </c>
      <c r="C86" t="s">
        <v>184</v>
      </c>
      <c r="D86" t="s">
        <v>185</v>
      </c>
    </row>
    <row r="87" spans="1:4" x14ac:dyDescent="0.3">
      <c r="A87" s="97">
        <v>41381</v>
      </c>
      <c r="B87" t="s">
        <v>186</v>
      </c>
      <c r="C87" t="s">
        <v>187</v>
      </c>
      <c r="D87" t="s">
        <v>188</v>
      </c>
    </row>
    <row r="88" spans="1:4" x14ac:dyDescent="0.3">
      <c r="A88" s="97">
        <v>41381</v>
      </c>
      <c r="B88" t="s">
        <v>189</v>
      </c>
      <c r="C88" t="s">
        <v>190</v>
      </c>
      <c r="D88" t="s">
        <v>191</v>
      </c>
    </row>
    <row r="89" spans="1:4" x14ac:dyDescent="0.3">
      <c r="A89" s="97">
        <v>41381</v>
      </c>
      <c r="B89" t="s">
        <v>192</v>
      </c>
      <c r="C89" t="s">
        <v>193</v>
      </c>
      <c r="D89" t="s">
        <v>194</v>
      </c>
    </row>
    <row r="90" spans="1:4" x14ac:dyDescent="0.3">
      <c r="A90" s="97">
        <v>41381</v>
      </c>
      <c r="B90" t="s">
        <v>195</v>
      </c>
      <c r="C90" t="s">
        <v>196</v>
      </c>
      <c r="D90" t="s">
        <v>197</v>
      </c>
    </row>
    <row r="91" spans="1:4" x14ac:dyDescent="0.3">
      <c r="A91" s="102">
        <v>41457</v>
      </c>
      <c r="B91" s="20" t="s">
        <v>524</v>
      </c>
      <c r="C91" s="20" t="s">
        <v>526</v>
      </c>
      <c r="D91" s="20" t="s">
        <v>1591</v>
      </c>
    </row>
    <row r="92" spans="1:4" x14ac:dyDescent="0.3">
      <c r="A92" s="102">
        <v>41457</v>
      </c>
      <c r="B92" s="20" t="s">
        <v>527</v>
      </c>
      <c r="C92" s="20" t="s">
        <v>529</v>
      </c>
      <c r="D92" s="20" t="s">
        <v>1592</v>
      </c>
    </row>
    <row r="93" spans="1:4" x14ac:dyDescent="0.3">
      <c r="A93" s="102">
        <v>41457</v>
      </c>
      <c r="B93" s="20" t="s">
        <v>530</v>
      </c>
      <c r="C93" s="20" t="s">
        <v>532</v>
      </c>
      <c r="D93" s="20" t="s">
        <v>1593</v>
      </c>
    </row>
    <row r="94" spans="1:4" x14ac:dyDescent="0.3">
      <c r="A94" s="102">
        <v>41457</v>
      </c>
      <c r="B94" s="20" t="s">
        <v>1594</v>
      </c>
      <c r="C94" s="20" t="s">
        <v>1595</v>
      </c>
      <c r="D94" s="20" t="s">
        <v>1596</v>
      </c>
    </row>
    <row r="95" spans="1:4" x14ac:dyDescent="0.3">
      <c r="A95" s="102">
        <v>41457</v>
      </c>
      <c r="B95" s="20" t="s">
        <v>1597</v>
      </c>
      <c r="C95" s="20" t="s">
        <v>1598</v>
      </c>
      <c r="D95" s="20" t="s">
        <v>1599</v>
      </c>
    </row>
    <row r="96" spans="1:4" x14ac:dyDescent="0.3">
      <c r="A96" s="102">
        <v>41457</v>
      </c>
      <c r="B96" s="20" t="s">
        <v>1069</v>
      </c>
      <c r="C96" s="20" t="s">
        <v>1070</v>
      </c>
      <c r="D96" s="20" t="s">
        <v>1600</v>
      </c>
    </row>
    <row r="97" spans="1:4" x14ac:dyDescent="0.3">
      <c r="A97" s="102">
        <v>41457</v>
      </c>
      <c r="B97" s="20" t="s">
        <v>1601</v>
      </c>
      <c r="C97" s="20" t="s">
        <v>1602</v>
      </c>
      <c r="D97" s="20" t="s">
        <v>1603</v>
      </c>
    </row>
    <row r="98" spans="1:4" x14ac:dyDescent="0.3">
      <c r="A98" s="102">
        <v>41457</v>
      </c>
      <c r="B98" s="20" t="s">
        <v>1604</v>
      </c>
      <c r="C98" s="20" t="s">
        <v>1605</v>
      </c>
      <c r="D98" s="20" t="s">
        <v>1606</v>
      </c>
    </row>
    <row r="99" spans="1:4" x14ac:dyDescent="0.3">
      <c r="A99" s="102">
        <v>41457</v>
      </c>
      <c r="B99" s="20" t="s">
        <v>1607</v>
      </c>
      <c r="C99" s="20" t="s">
        <v>1608</v>
      </c>
      <c r="D99" s="20" t="s">
        <v>1609</v>
      </c>
    </row>
    <row r="100" spans="1:4" x14ac:dyDescent="0.3">
      <c r="A100" s="102">
        <v>41457</v>
      </c>
      <c r="B100" s="20" t="s">
        <v>1610</v>
      </c>
      <c r="C100" s="20" t="s">
        <v>1611</v>
      </c>
      <c r="D100" s="20" t="s">
        <v>1612</v>
      </c>
    </row>
    <row r="101" spans="1:4" x14ac:dyDescent="0.3">
      <c r="A101" s="102">
        <v>41457</v>
      </c>
      <c r="B101" s="20" t="s">
        <v>1613</v>
      </c>
      <c r="C101" s="20" t="s">
        <v>1614</v>
      </c>
      <c r="D101" s="20" t="s">
        <v>1615</v>
      </c>
    </row>
    <row r="102" spans="1:4" x14ac:dyDescent="0.3">
      <c r="A102" s="102">
        <v>41457</v>
      </c>
      <c r="B102" s="20" t="s">
        <v>1616</v>
      </c>
      <c r="C102" s="20" t="s">
        <v>1617</v>
      </c>
      <c r="D102" s="20" t="s">
        <v>1618</v>
      </c>
    </row>
    <row r="103" spans="1:4" x14ac:dyDescent="0.3">
      <c r="A103" s="102">
        <v>41457</v>
      </c>
      <c r="B103" s="20" t="s">
        <v>1619</v>
      </c>
      <c r="C103" s="20" t="s">
        <v>1620</v>
      </c>
      <c r="D103" s="20" t="s">
        <v>1621</v>
      </c>
    </row>
    <row r="104" spans="1:4" x14ac:dyDescent="0.3">
      <c r="A104" s="102">
        <v>41457</v>
      </c>
      <c r="B104" s="20" t="s">
        <v>1622</v>
      </c>
      <c r="C104" s="20" t="s">
        <v>1623</v>
      </c>
      <c r="D104" s="20" t="s">
        <v>1624</v>
      </c>
    </row>
    <row r="105" spans="1:4" x14ac:dyDescent="0.3">
      <c r="A105" s="102">
        <v>41457</v>
      </c>
      <c r="B105" s="20" t="s">
        <v>1625</v>
      </c>
      <c r="C105" s="20" t="s">
        <v>1626</v>
      </c>
      <c r="D105" s="20" t="s">
        <v>1627</v>
      </c>
    </row>
    <row r="106" spans="1:4" x14ac:dyDescent="0.3">
      <c r="A106" s="102">
        <v>41457</v>
      </c>
      <c r="B106" s="20" t="s">
        <v>1628</v>
      </c>
      <c r="C106" s="20" t="s">
        <v>1629</v>
      </c>
      <c r="D106" s="20" t="s">
        <v>1630</v>
      </c>
    </row>
    <row r="107" spans="1:4" x14ac:dyDescent="0.3">
      <c r="A107" s="102">
        <v>41457</v>
      </c>
      <c r="B107" s="20" t="s">
        <v>1631</v>
      </c>
      <c r="C107" s="20" t="s">
        <v>1632</v>
      </c>
      <c r="D107" s="20" t="s">
        <v>1633</v>
      </c>
    </row>
    <row r="108" spans="1:4" x14ac:dyDescent="0.3">
      <c r="A108" s="102">
        <v>41457</v>
      </c>
      <c r="B108" s="20" t="s">
        <v>1634</v>
      </c>
      <c r="C108" s="20" t="s">
        <v>1635</v>
      </c>
      <c r="D108" s="20" t="s">
        <v>1636</v>
      </c>
    </row>
    <row r="109" spans="1:4" x14ac:dyDescent="0.3">
      <c r="A109" s="102">
        <v>41457</v>
      </c>
      <c r="B109" s="20" t="s">
        <v>1637</v>
      </c>
      <c r="C109" s="20" t="s">
        <v>1638</v>
      </c>
      <c r="D109" s="20" t="s">
        <v>1639</v>
      </c>
    </row>
    <row r="110" spans="1:4" x14ac:dyDescent="0.3">
      <c r="A110" s="102">
        <v>41457</v>
      </c>
      <c r="B110" s="20" t="s">
        <v>1640</v>
      </c>
      <c r="C110" s="20" t="s">
        <v>1641</v>
      </c>
      <c r="D110" s="20" t="s">
        <v>1642</v>
      </c>
    </row>
    <row r="111" spans="1:4" x14ac:dyDescent="0.3">
      <c r="A111" s="102">
        <v>41457</v>
      </c>
      <c r="B111" s="20" t="s">
        <v>1643</v>
      </c>
      <c r="C111" s="20" t="s">
        <v>1644</v>
      </c>
      <c r="D111" s="20" t="s">
        <v>1645</v>
      </c>
    </row>
    <row r="112" spans="1:4" x14ac:dyDescent="0.3">
      <c r="A112" s="102">
        <v>41457</v>
      </c>
      <c r="B112" s="20" t="s">
        <v>1157</v>
      </c>
      <c r="C112" s="20" t="s">
        <v>1158</v>
      </c>
      <c r="D112" s="20" t="s">
        <v>1646</v>
      </c>
    </row>
    <row r="113" spans="1:4" x14ac:dyDescent="0.3">
      <c r="A113" s="102">
        <v>41457</v>
      </c>
      <c r="B113" s="20" t="s">
        <v>1647</v>
      </c>
      <c r="C113" s="20" t="s">
        <v>1648</v>
      </c>
      <c r="D113" s="20" t="s">
        <v>1649</v>
      </c>
    </row>
    <row r="114" spans="1:4" x14ac:dyDescent="0.3">
      <c r="A114" s="102">
        <v>41457</v>
      </c>
      <c r="B114" s="20" t="s">
        <v>1650</v>
      </c>
      <c r="C114" s="20" t="s">
        <v>1651</v>
      </c>
      <c r="D114" s="20" t="s">
        <v>1652</v>
      </c>
    </row>
    <row r="115" spans="1:4" x14ac:dyDescent="0.3">
      <c r="A115" s="102">
        <v>41457</v>
      </c>
      <c r="B115" s="20" t="s">
        <v>1653</v>
      </c>
      <c r="C115" s="20" t="s">
        <v>1654</v>
      </c>
      <c r="D115" s="20" t="s">
        <v>1655</v>
      </c>
    </row>
    <row r="116" spans="1:4" x14ac:dyDescent="0.3">
      <c r="A116" s="102">
        <v>41457</v>
      </c>
      <c r="B116" s="20" t="s">
        <v>1656</v>
      </c>
      <c r="C116" s="20" t="s">
        <v>1657</v>
      </c>
      <c r="D116" s="20" t="s">
        <v>1658</v>
      </c>
    </row>
    <row r="117" spans="1:4" x14ac:dyDescent="0.3">
      <c r="A117" s="102">
        <v>41457</v>
      </c>
      <c r="B117" s="20" t="s">
        <v>1181</v>
      </c>
      <c r="C117" s="20" t="s">
        <v>1182</v>
      </c>
      <c r="D117" s="20" t="s">
        <v>1659</v>
      </c>
    </row>
    <row r="118" spans="1:4" x14ac:dyDescent="0.3">
      <c r="A118" s="102">
        <v>41457</v>
      </c>
      <c r="B118" s="20" t="s">
        <v>1193</v>
      </c>
      <c r="C118" s="20" t="s">
        <v>1194</v>
      </c>
      <c r="D118" s="20" t="s">
        <v>1660</v>
      </c>
    </row>
    <row r="120" spans="1:4" x14ac:dyDescent="0.3">
      <c r="A120" s="5" t="s">
        <v>3836</v>
      </c>
      <c r="B120" s="5" t="str">
        <f>"Change in definition ("&amp;COUNTA(B121:B248)&amp;")"</f>
        <v>Change in definition (127)</v>
      </c>
      <c r="C120" s="5" t="s">
        <v>198</v>
      </c>
      <c r="D120" s="5" t="s">
        <v>199</v>
      </c>
    </row>
    <row r="121" spans="1:4" s="7" customFormat="1" x14ac:dyDescent="0.3">
      <c r="A121" s="97">
        <v>41381</v>
      </c>
      <c r="B121" s="7" t="s">
        <v>200</v>
      </c>
      <c r="C121" s="7" t="s">
        <v>201</v>
      </c>
      <c r="D121" s="9" t="s">
        <v>202</v>
      </c>
    </row>
    <row r="122" spans="1:4" s="7" customFormat="1" x14ac:dyDescent="0.3">
      <c r="A122" s="97">
        <v>41381</v>
      </c>
      <c r="B122" s="7" t="s">
        <v>117</v>
      </c>
      <c r="C122" s="7" t="s">
        <v>203</v>
      </c>
      <c r="D122" s="9" t="s">
        <v>204</v>
      </c>
    </row>
    <row r="123" spans="1:4" s="7" customFormat="1" x14ac:dyDescent="0.3">
      <c r="A123" s="97">
        <v>41381</v>
      </c>
      <c r="B123" s="7" t="s">
        <v>205</v>
      </c>
      <c r="C123" s="7" t="s">
        <v>206</v>
      </c>
      <c r="D123" s="9" t="s">
        <v>207</v>
      </c>
    </row>
    <row r="124" spans="1:4" s="7" customFormat="1" x14ac:dyDescent="0.3">
      <c r="A124" s="97">
        <v>41381</v>
      </c>
      <c r="B124" s="7" t="s">
        <v>208</v>
      </c>
      <c r="C124" s="7" t="s">
        <v>209</v>
      </c>
      <c r="D124" s="7" t="s">
        <v>210</v>
      </c>
    </row>
    <row r="125" spans="1:4" s="7" customFormat="1" x14ac:dyDescent="0.3">
      <c r="A125" s="97">
        <v>41381</v>
      </c>
      <c r="B125" s="7" t="s">
        <v>211</v>
      </c>
      <c r="C125" s="7" t="s">
        <v>212</v>
      </c>
      <c r="D125" s="7" t="s">
        <v>213</v>
      </c>
    </row>
    <row r="126" spans="1:4" s="7" customFormat="1" x14ac:dyDescent="0.3">
      <c r="A126" s="97">
        <v>41381</v>
      </c>
      <c r="B126" s="7" t="s">
        <v>214</v>
      </c>
      <c r="C126" s="7" t="s">
        <v>215</v>
      </c>
      <c r="D126" s="7" t="s">
        <v>216</v>
      </c>
    </row>
    <row r="127" spans="1:4" s="7" customFormat="1" x14ac:dyDescent="0.3">
      <c r="A127" s="97">
        <v>41381</v>
      </c>
      <c r="B127" s="7" t="s">
        <v>120</v>
      </c>
      <c r="C127" s="7" t="s">
        <v>217</v>
      </c>
      <c r="D127" s="7" t="s">
        <v>218</v>
      </c>
    </row>
    <row r="128" spans="1:4" s="7" customFormat="1" x14ac:dyDescent="0.3">
      <c r="A128" s="97">
        <v>41381</v>
      </c>
      <c r="B128" s="7" t="s">
        <v>123</v>
      </c>
      <c r="C128" s="7" t="s">
        <v>219</v>
      </c>
      <c r="D128" s="7" t="s">
        <v>220</v>
      </c>
    </row>
    <row r="129" spans="1:4" s="7" customFormat="1" x14ac:dyDescent="0.3">
      <c r="A129" s="97">
        <v>41381</v>
      </c>
      <c r="B129" s="7" t="s">
        <v>221</v>
      </c>
      <c r="C129" s="7" t="s">
        <v>222</v>
      </c>
      <c r="D129" s="7" t="s">
        <v>223</v>
      </c>
    </row>
    <row r="130" spans="1:4" s="7" customFormat="1" x14ac:dyDescent="0.3">
      <c r="A130" s="97">
        <v>41381</v>
      </c>
      <c r="B130" s="7" t="s">
        <v>224</v>
      </c>
      <c r="C130" s="7" t="s">
        <v>225</v>
      </c>
      <c r="D130" s="7" t="s">
        <v>226</v>
      </c>
    </row>
    <row r="131" spans="1:4" s="7" customFormat="1" x14ac:dyDescent="0.3">
      <c r="A131" s="97">
        <v>41381</v>
      </c>
      <c r="B131" s="7" t="s">
        <v>126</v>
      </c>
      <c r="C131" s="7" t="s">
        <v>227</v>
      </c>
      <c r="D131" s="7" t="s">
        <v>228</v>
      </c>
    </row>
    <row r="132" spans="1:4" s="7" customFormat="1" x14ac:dyDescent="0.3">
      <c r="A132" s="97">
        <v>41381</v>
      </c>
      <c r="B132" s="7" t="s">
        <v>129</v>
      </c>
      <c r="C132" s="7" t="s">
        <v>229</v>
      </c>
      <c r="D132" s="7" t="s">
        <v>230</v>
      </c>
    </row>
    <row r="133" spans="1:4" s="7" customFormat="1" x14ac:dyDescent="0.3">
      <c r="A133" s="97">
        <v>41381</v>
      </c>
      <c r="B133" s="7" t="s">
        <v>231</v>
      </c>
      <c r="C133" s="7" t="s">
        <v>232</v>
      </c>
      <c r="D133" s="7" t="s">
        <v>233</v>
      </c>
    </row>
    <row r="134" spans="1:4" s="7" customFormat="1" x14ac:dyDescent="0.3">
      <c r="A134" s="97">
        <v>41381</v>
      </c>
      <c r="B134" s="7" t="s">
        <v>234</v>
      </c>
      <c r="C134" s="7" t="s">
        <v>235</v>
      </c>
      <c r="D134" s="7" t="s">
        <v>236</v>
      </c>
    </row>
    <row r="135" spans="1:4" s="7" customFormat="1" x14ac:dyDescent="0.3">
      <c r="A135" s="97">
        <v>41381</v>
      </c>
      <c r="B135" s="7" t="s">
        <v>132</v>
      </c>
      <c r="C135" s="7" t="s">
        <v>237</v>
      </c>
      <c r="D135" s="7" t="s">
        <v>238</v>
      </c>
    </row>
    <row r="136" spans="1:4" s="7" customFormat="1" x14ac:dyDescent="0.3">
      <c r="A136" s="97">
        <v>41381</v>
      </c>
      <c r="B136" s="7" t="s">
        <v>239</v>
      </c>
      <c r="C136" s="7" t="s">
        <v>240</v>
      </c>
      <c r="D136" s="7" t="s">
        <v>241</v>
      </c>
    </row>
    <row r="137" spans="1:4" s="7" customFormat="1" x14ac:dyDescent="0.3">
      <c r="A137" s="97">
        <v>41381</v>
      </c>
      <c r="B137" s="7" t="s">
        <v>135</v>
      </c>
      <c r="C137" s="7" t="s">
        <v>242</v>
      </c>
      <c r="D137" s="7" t="s">
        <v>243</v>
      </c>
    </row>
    <row r="138" spans="1:4" s="7" customFormat="1" x14ac:dyDescent="0.3">
      <c r="A138" s="97">
        <v>41381</v>
      </c>
      <c r="B138" s="7" t="s">
        <v>244</v>
      </c>
      <c r="C138" s="7" t="s">
        <v>245</v>
      </c>
      <c r="D138" s="7" t="s">
        <v>246</v>
      </c>
    </row>
    <row r="139" spans="1:4" s="7" customFormat="1" x14ac:dyDescent="0.3">
      <c r="A139" s="97">
        <v>41381</v>
      </c>
      <c r="B139" s="7" t="s">
        <v>103</v>
      </c>
      <c r="C139" s="7" t="s">
        <v>247</v>
      </c>
      <c r="D139" s="7" t="s">
        <v>248</v>
      </c>
    </row>
    <row r="140" spans="1:4" s="7" customFormat="1" x14ac:dyDescent="0.3">
      <c r="A140" s="97">
        <v>41381</v>
      </c>
      <c r="B140" s="7" t="s">
        <v>105</v>
      </c>
      <c r="C140" s="7" t="s">
        <v>249</v>
      </c>
      <c r="D140" s="7" t="s">
        <v>250</v>
      </c>
    </row>
    <row r="141" spans="1:4" s="7" customFormat="1" x14ac:dyDescent="0.3">
      <c r="A141" s="97">
        <v>41381</v>
      </c>
      <c r="B141" s="7" t="s">
        <v>138</v>
      </c>
      <c r="C141" s="7" t="s">
        <v>251</v>
      </c>
      <c r="D141" s="7" t="s">
        <v>252</v>
      </c>
    </row>
    <row r="142" spans="1:4" s="7" customFormat="1" x14ac:dyDescent="0.3">
      <c r="A142" s="97">
        <v>41381</v>
      </c>
      <c r="B142" s="7" t="s">
        <v>141</v>
      </c>
      <c r="C142" s="7" t="s">
        <v>253</v>
      </c>
      <c r="D142" s="7" t="s">
        <v>254</v>
      </c>
    </row>
    <row r="143" spans="1:4" s="7" customFormat="1" x14ac:dyDescent="0.3">
      <c r="A143" s="97">
        <v>41381</v>
      </c>
      <c r="B143" s="7" t="s">
        <v>144</v>
      </c>
      <c r="C143" s="7" t="s">
        <v>255</v>
      </c>
      <c r="D143" s="7" t="s">
        <v>228</v>
      </c>
    </row>
    <row r="144" spans="1:4" s="7" customFormat="1" x14ac:dyDescent="0.3">
      <c r="A144" s="97">
        <v>41381</v>
      </c>
      <c r="B144" s="7" t="s">
        <v>256</v>
      </c>
      <c r="C144" s="7" t="s">
        <v>257</v>
      </c>
      <c r="D144" s="7" t="s">
        <v>258</v>
      </c>
    </row>
    <row r="145" spans="1:4" s="7" customFormat="1" x14ac:dyDescent="0.3">
      <c r="A145" s="97">
        <v>41381</v>
      </c>
      <c r="B145" s="7" t="s">
        <v>259</v>
      </c>
      <c r="C145" s="7" t="s">
        <v>260</v>
      </c>
      <c r="D145" s="7" t="s">
        <v>261</v>
      </c>
    </row>
    <row r="146" spans="1:4" s="7" customFormat="1" x14ac:dyDescent="0.3">
      <c r="A146" s="97">
        <v>41381</v>
      </c>
      <c r="B146" s="7" t="s">
        <v>262</v>
      </c>
      <c r="C146" s="7" t="s">
        <v>263</v>
      </c>
      <c r="D146" s="7" t="s">
        <v>202</v>
      </c>
    </row>
    <row r="147" spans="1:4" s="7" customFormat="1" x14ac:dyDescent="0.3">
      <c r="A147" s="97">
        <v>41381</v>
      </c>
      <c r="B147" s="7" t="s">
        <v>147</v>
      </c>
      <c r="C147" s="7" t="s">
        <v>264</v>
      </c>
      <c r="D147" s="7" t="s">
        <v>265</v>
      </c>
    </row>
    <row r="148" spans="1:4" s="7" customFormat="1" x14ac:dyDescent="0.3">
      <c r="A148" s="97">
        <v>41381</v>
      </c>
      <c r="B148" s="7" t="s">
        <v>266</v>
      </c>
      <c r="C148" s="7" t="s">
        <v>267</v>
      </c>
      <c r="D148" s="7" t="s">
        <v>268</v>
      </c>
    </row>
    <row r="149" spans="1:4" s="7" customFormat="1" x14ac:dyDescent="0.3">
      <c r="A149" s="97">
        <v>41381</v>
      </c>
      <c r="B149" s="7" t="s">
        <v>269</v>
      </c>
      <c r="C149" s="7" t="s">
        <v>270</v>
      </c>
      <c r="D149" s="7" t="s">
        <v>210</v>
      </c>
    </row>
    <row r="150" spans="1:4" s="7" customFormat="1" x14ac:dyDescent="0.3">
      <c r="A150" s="97">
        <v>41381</v>
      </c>
      <c r="B150" s="7" t="s">
        <v>271</v>
      </c>
      <c r="C150" s="7" t="s">
        <v>272</v>
      </c>
      <c r="D150" s="7" t="s">
        <v>273</v>
      </c>
    </row>
    <row r="151" spans="1:4" s="7" customFormat="1" x14ac:dyDescent="0.3">
      <c r="A151" s="97">
        <v>41381</v>
      </c>
      <c r="B151" s="7" t="s">
        <v>274</v>
      </c>
      <c r="C151" s="7" t="s">
        <v>215</v>
      </c>
      <c r="D151" s="7" t="s">
        <v>216</v>
      </c>
    </row>
    <row r="152" spans="1:4" s="7" customFormat="1" x14ac:dyDescent="0.3">
      <c r="A152" s="97">
        <v>41381</v>
      </c>
      <c r="B152" s="7" t="s">
        <v>150</v>
      </c>
      <c r="C152" s="7" t="s">
        <v>217</v>
      </c>
      <c r="D152" s="7" t="s">
        <v>218</v>
      </c>
    </row>
    <row r="153" spans="1:4" s="7" customFormat="1" x14ac:dyDescent="0.3">
      <c r="A153" s="97">
        <v>41381</v>
      </c>
      <c r="B153" s="7" t="s">
        <v>153</v>
      </c>
      <c r="C153" s="7" t="s">
        <v>275</v>
      </c>
      <c r="D153" s="7" t="s">
        <v>276</v>
      </c>
    </row>
    <row r="154" spans="1:4" s="7" customFormat="1" x14ac:dyDescent="0.3">
      <c r="A154" s="97">
        <v>41381</v>
      </c>
      <c r="B154" s="7" t="s">
        <v>277</v>
      </c>
      <c r="C154" s="7" t="s">
        <v>278</v>
      </c>
      <c r="D154" s="7" t="s">
        <v>223</v>
      </c>
    </row>
    <row r="155" spans="1:4" s="7" customFormat="1" x14ac:dyDescent="0.3">
      <c r="A155" s="97">
        <v>41381</v>
      </c>
      <c r="B155" s="7" t="s">
        <v>279</v>
      </c>
      <c r="C155" s="7" t="s">
        <v>280</v>
      </c>
      <c r="D155" s="7" t="s">
        <v>226</v>
      </c>
    </row>
    <row r="156" spans="1:4" s="7" customFormat="1" x14ac:dyDescent="0.3">
      <c r="A156" s="97">
        <v>41381</v>
      </c>
      <c r="B156" s="7" t="s">
        <v>156</v>
      </c>
      <c r="C156" s="7" t="s">
        <v>281</v>
      </c>
      <c r="D156" s="7" t="s">
        <v>228</v>
      </c>
    </row>
    <row r="157" spans="1:4" s="7" customFormat="1" x14ac:dyDescent="0.3">
      <c r="A157" s="97">
        <v>41381</v>
      </c>
      <c r="B157" s="7" t="s">
        <v>159</v>
      </c>
      <c r="C157" s="7" t="s">
        <v>282</v>
      </c>
      <c r="D157" s="7" t="s">
        <v>283</v>
      </c>
    </row>
    <row r="158" spans="1:4" s="7" customFormat="1" x14ac:dyDescent="0.3">
      <c r="A158" s="97">
        <v>41381</v>
      </c>
      <c r="B158" s="7" t="s">
        <v>162</v>
      </c>
      <c r="C158" s="7" t="s">
        <v>229</v>
      </c>
      <c r="D158" s="7" t="s">
        <v>230</v>
      </c>
    </row>
    <row r="159" spans="1:4" s="7" customFormat="1" x14ac:dyDescent="0.3">
      <c r="A159" s="97">
        <v>41381</v>
      </c>
      <c r="B159" s="7" t="s">
        <v>165</v>
      </c>
      <c r="C159" s="7" t="s">
        <v>229</v>
      </c>
      <c r="D159" s="7" t="s">
        <v>284</v>
      </c>
    </row>
    <row r="160" spans="1:4" s="7" customFormat="1" x14ac:dyDescent="0.3">
      <c r="A160" s="97">
        <v>41381</v>
      </c>
      <c r="B160" s="7" t="s">
        <v>183</v>
      </c>
      <c r="C160" s="7" t="s">
        <v>285</v>
      </c>
      <c r="D160" s="7" t="s">
        <v>286</v>
      </c>
    </row>
    <row r="161" spans="1:4" s="7" customFormat="1" x14ac:dyDescent="0.3">
      <c r="A161" s="97">
        <v>41381</v>
      </c>
      <c r="B161" s="7" t="s">
        <v>287</v>
      </c>
      <c r="C161" s="7" t="s">
        <v>288</v>
      </c>
      <c r="D161" s="7" t="s">
        <v>289</v>
      </c>
    </row>
    <row r="162" spans="1:4" s="7" customFormat="1" x14ac:dyDescent="0.3">
      <c r="A162" s="97">
        <v>41381</v>
      </c>
      <c r="B162" s="7" t="s">
        <v>189</v>
      </c>
      <c r="C162" s="7" t="s">
        <v>290</v>
      </c>
      <c r="D162" s="7" t="s">
        <v>291</v>
      </c>
    </row>
    <row r="163" spans="1:4" s="7" customFormat="1" x14ac:dyDescent="0.3">
      <c r="A163" s="97">
        <v>41381</v>
      </c>
      <c r="B163" s="7" t="s">
        <v>192</v>
      </c>
      <c r="C163" s="7" t="s">
        <v>290</v>
      </c>
      <c r="D163" s="7" t="s">
        <v>291</v>
      </c>
    </row>
    <row r="164" spans="1:4" s="7" customFormat="1" x14ac:dyDescent="0.3">
      <c r="A164" s="97">
        <v>41381</v>
      </c>
      <c r="B164" s="7" t="s">
        <v>195</v>
      </c>
      <c r="C164" s="7" t="s">
        <v>290</v>
      </c>
      <c r="D164" s="7" t="s">
        <v>291</v>
      </c>
    </row>
    <row r="165" spans="1:4" s="7" customFormat="1" x14ac:dyDescent="0.3">
      <c r="A165" s="97">
        <v>41381</v>
      </c>
      <c r="B165" s="7" t="s">
        <v>292</v>
      </c>
      <c r="C165" s="7" t="s">
        <v>293</v>
      </c>
      <c r="D165" s="7" t="s">
        <v>294</v>
      </c>
    </row>
    <row r="166" spans="1:4" s="7" customFormat="1" x14ac:dyDescent="0.3">
      <c r="A166" s="97">
        <v>41381</v>
      </c>
      <c r="B166" s="7" t="s">
        <v>295</v>
      </c>
      <c r="C166" s="7" t="s">
        <v>296</v>
      </c>
      <c r="D166" s="7" t="s">
        <v>297</v>
      </c>
    </row>
    <row r="167" spans="1:4" s="7" customFormat="1" x14ac:dyDescent="0.3">
      <c r="A167" s="97">
        <v>41381</v>
      </c>
      <c r="B167" s="7" t="s">
        <v>298</v>
      </c>
      <c r="C167" s="7" t="s">
        <v>299</v>
      </c>
      <c r="D167" s="7" t="s">
        <v>300</v>
      </c>
    </row>
    <row r="168" spans="1:4" s="7" customFormat="1" x14ac:dyDescent="0.3">
      <c r="A168" s="97">
        <v>41381</v>
      </c>
      <c r="B168" s="7" t="s">
        <v>301</v>
      </c>
      <c r="C168" s="7" t="s">
        <v>302</v>
      </c>
      <c r="D168" s="7" t="s">
        <v>303</v>
      </c>
    </row>
    <row r="169" spans="1:4" s="7" customFormat="1" x14ac:dyDescent="0.3">
      <c r="A169" s="97">
        <v>41381</v>
      </c>
      <c r="B169" s="7" t="s">
        <v>304</v>
      </c>
      <c r="C169" s="7" t="s">
        <v>305</v>
      </c>
      <c r="D169" s="7" t="s">
        <v>306</v>
      </c>
    </row>
    <row r="170" spans="1:4" s="7" customFormat="1" x14ac:dyDescent="0.3">
      <c r="A170" s="102">
        <v>41457</v>
      </c>
      <c r="B170" s="20" t="s">
        <v>1661</v>
      </c>
      <c r="C170" s="20" t="s">
        <v>1662</v>
      </c>
      <c r="D170" s="20" t="s">
        <v>1588</v>
      </c>
    </row>
    <row r="171" spans="1:4" s="7" customFormat="1" x14ac:dyDescent="0.3">
      <c r="A171" s="102">
        <v>41457</v>
      </c>
      <c r="B171" s="20" t="s">
        <v>1663</v>
      </c>
      <c r="C171" s="20" t="s">
        <v>1662</v>
      </c>
      <c r="D171" s="20" t="s">
        <v>1588</v>
      </c>
    </row>
    <row r="172" spans="1:4" s="7" customFormat="1" x14ac:dyDescent="0.3">
      <c r="A172" s="102">
        <v>41457</v>
      </c>
      <c r="B172" s="20" t="s">
        <v>1664</v>
      </c>
      <c r="C172" s="20" t="s">
        <v>1662</v>
      </c>
      <c r="D172" s="20" t="s">
        <v>1588</v>
      </c>
    </row>
    <row r="173" spans="1:4" s="7" customFormat="1" x14ac:dyDescent="0.3">
      <c r="A173" s="102">
        <v>41457</v>
      </c>
      <c r="B173" s="20" t="s">
        <v>1665</v>
      </c>
      <c r="C173" s="20" t="s">
        <v>1662</v>
      </c>
      <c r="D173" s="20" t="s">
        <v>1588</v>
      </c>
    </row>
    <row r="174" spans="1:4" s="7" customFormat="1" x14ac:dyDescent="0.3">
      <c r="A174" s="102">
        <v>41457</v>
      </c>
      <c r="B174" s="20" t="s">
        <v>1376</v>
      </c>
      <c r="C174" s="20" t="s">
        <v>1662</v>
      </c>
      <c r="D174" s="20" t="s">
        <v>1588</v>
      </c>
    </row>
    <row r="175" spans="1:4" s="7" customFormat="1" x14ac:dyDescent="0.3">
      <c r="A175" s="102">
        <v>41457</v>
      </c>
      <c r="B175" s="20" t="s">
        <v>1666</v>
      </c>
      <c r="C175" s="20" t="s">
        <v>1662</v>
      </c>
      <c r="D175" s="20" t="s">
        <v>1588</v>
      </c>
    </row>
    <row r="176" spans="1:4" s="7" customFormat="1" x14ac:dyDescent="0.3">
      <c r="A176" s="102">
        <v>41457</v>
      </c>
      <c r="B176" s="20" t="s">
        <v>1667</v>
      </c>
      <c r="C176" s="20" t="s">
        <v>1662</v>
      </c>
      <c r="D176" s="20" t="s">
        <v>1588</v>
      </c>
    </row>
    <row r="177" spans="1:4" s="7" customFormat="1" x14ac:dyDescent="0.3">
      <c r="A177" s="102">
        <v>41457</v>
      </c>
      <c r="B177" s="20" t="s">
        <v>1668</v>
      </c>
      <c r="C177" s="20" t="s">
        <v>1662</v>
      </c>
      <c r="D177" s="20" t="s">
        <v>1588</v>
      </c>
    </row>
    <row r="178" spans="1:4" s="7" customFormat="1" x14ac:dyDescent="0.3">
      <c r="A178" s="102">
        <v>41457</v>
      </c>
      <c r="B178" s="20" t="s">
        <v>1669</v>
      </c>
      <c r="C178" s="20" t="s">
        <v>1662</v>
      </c>
      <c r="D178" s="20" t="s">
        <v>1588</v>
      </c>
    </row>
    <row r="179" spans="1:4" s="7" customFormat="1" x14ac:dyDescent="0.3">
      <c r="A179" s="102">
        <v>41457</v>
      </c>
      <c r="B179" s="20" t="s">
        <v>1670</v>
      </c>
      <c r="C179" s="20" t="s">
        <v>1662</v>
      </c>
      <c r="D179" s="20" t="s">
        <v>1588</v>
      </c>
    </row>
    <row r="180" spans="1:4" s="7" customFormat="1" x14ac:dyDescent="0.3">
      <c r="A180" s="102">
        <v>41457</v>
      </c>
      <c r="B180" s="20" t="s">
        <v>1671</v>
      </c>
      <c r="C180" s="20" t="s">
        <v>1662</v>
      </c>
      <c r="D180" s="20" t="s">
        <v>1588</v>
      </c>
    </row>
    <row r="181" spans="1:4" s="7" customFormat="1" x14ac:dyDescent="0.3">
      <c r="A181" s="102">
        <v>41457</v>
      </c>
      <c r="B181" s="20" t="s">
        <v>1672</v>
      </c>
      <c r="C181" s="20" t="s">
        <v>1662</v>
      </c>
      <c r="D181" s="20" t="s">
        <v>1588</v>
      </c>
    </row>
    <row r="182" spans="1:4" s="7" customFormat="1" x14ac:dyDescent="0.3">
      <c r="A182" s="102">
        <v>41457</v>
      </c>
      <c r="B182" s="20" t="s">
        <v>1673</v>
      </c>
      <c r="C182" s="20" t="s">
        <v>1662</v>
      </c>
      <c r="D182" s="20" t="s">
        <v>1588</v>
      </c>
    </row>
    <row r="183" spans="1:4" s="7" customFormat="1" x14ac:dyDescent="0.3">
      <c r="A183" s="102">
        <v>41457</v>
      </c>
      <c r="B183" s="20" t="s">
        <v>1674</v>
      </c>
      <c r="C183" s="20" t="s">
        <v>1662</v>
      </c>
      <c r="D183" s="20" t="s">
        <v>1588</v>
      </c>
    </row>
    <row r="184" spans="1:4" s="7" customFormat="1" x14ac:dyDescent="0.3">
      <c r="A184" s="102">
        <v>41457</v>
      </c>
      <c r="B184" s="20" t="s">
        <v>1675</v>
      </c>
      <c r="C184" s="20" t="s">
        <v>1662</v>
      </c>
      <c r="D184" s="20" t="s">
        <v>1588</v>
      </c>
    </row>
    <row r="185" spans="1:4" s="7" customFormat="1" x14ac:dyDescent="0.3">
      <c r="A185" s="102">
        <v>41457</v>
      </c>
      <c r="B185" s="20" t="s">
        <v>1676</v>
      </c>
      <c r="C185" s="20" t="s">
        <v>1662</v>
      </c>
      <c r="D185" s="20" t="s">
        <v>1588</v>
      </c>
    </row>
    <row r="186" spans="1:4" s="7" customFormat="1" x14ac:dyDescent="0.3">
      <c r="A186" s="102">
        <v>41457</v>
      </c>
      <c r="B186" s="20" t="s">
        <v>1677</v>
      </c>
      <c r="C186" s="20" t="s">
        <v>1662</v>
      </c>
      <c r="D186" s="20" t="s">
        <v>1588</v>
      </c>
    </row>
    <row r="187" spans="1:4" s="7" customFormat="1" x14ac:dyDescent="0.3">
      <c r="A187" s="102">
        <v>41457</v>
      </c>
      <c r="B187" s="20" t="s">
        <v>1678</v>
      </c>
      <c r="C187" s="20" t="s">
        <v>1662</v>
      </c>
      <c r="D187" s="20" t="s">
        <v>1588</v>
      </c>
    </row>
    <row r="188" spans="1:4" s="7" customFormat="1" x14ac:dyDescent="0.3">
      <c r="A188" s="102">
        <v>41457</v>
      </c>
      <c r="B188" s="20" t="s">
        <v>1679</v>
      </c>
      <c r="C188" s="20" t="s">
        <v>1662</v>
      </c>
      <c r="D188" s="20" t="s">
        <v>1588</v>
      </c>
    </row>
    <row r="189" spans="1:4" s="7" customFormat="1" x14ac:dyDescent="0.3">
      <c r="A189" s="102">
        <v>41457</v>
      </c>
      <c r="B189" s="20" t="s">
        <v>1680</v>
      </c>
      <c r="C189" s="20" t="s">
        <v>1662</v>
      </c>
      <c r="D189" s="20" t="s">
        <v>1588</v>
      </c>
    </row>
    <row r="190" spans="1:4" s="7" customFormat="1" x14ac:dyDescent="0.3">
      <c r="A190" s="102">
        <v>41457</v>
      </c>
      <c r="B190" s="20" t="s">
        <v>1681</v>
      </c>
      <c r="C190" s="20" t="s">
        <v>1662</v>
      </c>
      <c r="D190" s="20" t="s">
        <v>1588</v>
      </c>
    </row>
    <row r="191" spans="1:4" s="7" customFormat="1" x14ac:dyDescent="0.3">
      <c r="A191" s="102">
        <v>41457</v>
      </c>
      <c r="B191" s="20" t="s">
        <v>1682</v>
      </c>
      <c r="C191" s="20" t="s">
        <v>1662</v>
      </c>
      <c r="D191" s="20" t="s">
        <v>1588</v>
      </c>
    </row>
    <row r="192" spans="1:4" s="7" customFormat="1" x14ac:dyDescent="0.3">
      <c r="A192" s="102">
        <v>41457</v>
      </c>
      <c r="B192" s="20" t="s">
        <v>1683</v>
      </c>
      <c r="C192" s="20" t="s">
        <v>1662</v>
      </c>
      <c r="D192" s="20" t="s">
        <v>1588</v>
      </c>
    </row>
    <row r="193" spans="1:4" s="7" customFormat="1" x14ac:dyDescent="0.3">
      <c r="A193" s="102">
        <v>41457</v>
      </c>
      <c r="B193" s="20" t="s">
        <v>1684</v>
      </c>
      <c r="C193" s="20" t="s">
        <v>1662</v>
      </c>
      <c r="D193" s="20" t="s">
        <v>1588</v>
      </c>
    </row>
    <row r="194" spans="1:4" s="7" customFormat="1" x14ac:dyDescent="0.3">
      <c r="A194" s="102">
        <v>41457</v>
      </c>
      <c r="B194" s="20" t="s">
        <v>1685</v>
      </c>
      <c r="C194" s="20" t="s">
        <v>1662</v>
      </c>
      <c r="D194" s="20" t="s">
        <v>1588</v>
      </c>
    </row>
    <row r="195" spans="1:4" s="7" customFormat="1" x14ac:dyDescent="0.3">
      <c r="A195" s="102">
        <v>41457</v>
      </c>
      <c r="B195" s="20" t="s">
        <v>524</v>
      </c>
      <c r="C195" s="20" t="s">
        <v>1686</v>
      </c>
      <c r="D195" s="20" t="s">
        <v>1687</v>
      </c>
    </row>
    <row r="196" spans="1:4" s="7" customFormat="1" x14ac:dyDescent="0.3">
      <c r="A196" s="102">
        <v>41457</v>
      </c>
      <c r="B196" s="20" t="s">
        <v>527</v>
      </c>
      <c r="C196" s="20" t="s">
        <v>1688</v>
      </c>
      <c r="D196" s="20" t="s">
        <v>1689</v>
      </c>
    </row>
    <row r="197" spans="1:4" s="7" customFormat="1" x14ac:dyDescent="0.3">
      <c r="A197" s="102">
        <v>41457</v>
      </c>
      <c r="B197" s="20" t="s">
        <v>530</v>
      </c>
      <c r="C197" s="20" t="s">
        <v>1690</v>
      </c>
      <c r="D197" s="20" t="s">
        <v>1691</v>
      </c>
    </row>
    <row r="198" spans="1:4" s="7" customFormat="1" x14ac:dyDescent="0.3">
      <c r="A198" s="102">
        <v>41457</v>
      </c>
      <c r="B198" s="20" t="s">
        <v>1594</v>
      </c>
      <c r="C198" s="20" t="s">
        <v>1692</v>
      </c>
      <c r="D198" s="20" t="s">
        <v>1693</v>
      </c>
    </row>
    <row r="199" spans="1:4" s="7" customFormat="1" x14ac:dyDescent="0.3">
      <c r="A199" s="102">
        <v>41457</v>
      </c>
      <c r="B199" s="20" t="s">
        <v>1601</v>
      </c>
      <c r="C199" s="20" t="s">
        <v>1694</v>
      </c>
      <c r="D199" s="20" t="s">
        <v>1695</v>
      </c>
    </row>
    <row r="200" spans="1:4" s="7" customFormat="1" x14ac:dyDescent="0.3">
      <c r="A200" s="102">
        <v>41457</v>
      </c>
      <c r="B200" s="20" t="s">
        <v>1696</v>
      </c>
      <c r="C200" s="20" t="s">
        <v>1697</v>
      </c>
      <c r="D200" s="20" t="s">
        <v>1698</v>
      </c>
    </row>
    <row r="201" spans="1:4" s="7" customFormat="1" x14ac:dyDescent="0.3">
      <c r="A201" s="102">
        <v>41457</v>
      </c>
      <c r="B201" s="20" t="s">
        <v>1604</v>
      </c>
      <c r="C201" s="20" t="s">
        <v>1699</v>
      </c>
      <c r="D201" s="20" t="s">
        <v>1700</v>
      </c>
    </row>
    <row r="202" spans="1:4" s="7" customFormat="1" x14ac:dyDescent="0.3">
      <c r="A202" s="102">
        <v>41457</v>
      </c>
      <c r="B202" s="20" t="s">
        <v>1701</v>
      </c>
      <c r="C202" s="20" t="s">
        <v>1702</v>
      </c>
      <c r="D202" s="20" t="s">
        <v>1703</v>
      </c>
    </row>
    <row r="203" spans="1:4" s="7" customFormat="1" x14ac:dyDescent="0.3">
      <c r="A203" s="102">
        <v>41457</v>
      </c>
      <c r="B203" s="20" t="s">
        <v>1607</v>
      </c>
      <c r="C203" s="20" t="s">
        <v>1704</v>
      </c>
      <c r="D203" s="20" t="s">
        <v>1705</v>
      </c>
    </row>
    <row r="204" spans="1:4" s="7" customFormat="1" x14ac:dyDescent="0.3">
      <c r="A204" s="102">
        <v>41457</v>
      </c>
      <c r="B204" s="20" t="s">
        <v>1706</v>
      </c>
      <c r="C204" s="20" t="s">
        <v>1707</v>
      </c>
      <c r="D204" s="20" t="s">
        <v>1708</v>
      </c>
    </row>
    <row r="205" spans="1:4" s="7" customFormat="1" x14ac:dyDescent="0.3">
      <c r="A205" s="102">
        <v>41457</v>
      </c>
      <c r="B205" s="20" t="s">
        <v>1610</v>
      </c>
      <c r="C205" s="20" t="s">
        <v>1709</v>
      </c>
      <c r="D205" s="20" t="s">
        <v>1710</v>
      </c>
    </row>
    <row r="206" spans="1:4" s="7" customFormat="1" x14ac:dyDescent="0.3">
      <c r="A206" s="102">
        <v>41457</v>
      </c>
      <c r="B206" s="20" t="s">
        <v>1711</v>
      </c>
      <c r="C206" s="20" t="s">
        <v>1712</v>
      </c>
      <c r="D206" s="20" t="s">
        <v>1713</v>
      </c>
    </row>
    <row r="207" spans="1:4" s="7" customFormat="1" x14ac:dyDescent="0.3">
      <c r="A207" s="102">
        <v>41457</v>
      </c>
      <c r="B207" s="20" t="s">
        <v>1613</v>
      </c>
      <c r="C207" s="20" t="s">
        <v>1714</v>
      </c>
      <c r="D207" s="20" t="s">
        <v>1715</v>
      </c>
    </row>
    <row r="208" spans="1:4" s="7" customFormat="1" x14ac:dyDescent="0.3">
      <c r="A208" s="102">
        <v>41457</v>
      </c>
      <c r="B208" s="20" t="s">
        <v>1716</v>
      </c>
      <c r="C208" s="20" t="s">
        <v>1717</v>
      </c>
      <c r="D208" s="20" t="s">
        <v>1718</v>
      </c>
    </row>
    <row r="209" spans="1:4" s="7" customFormat="1" x14ac:dyDescent="0.3">
      <c r="A209" s="102">
        <v>41457</v>
      </c>
      <c r="B209" s="20" t="s">
        <v>1616</v>
      </c>
      <c r="C209" s="20" t="s">
        <v>1719</v>
      </c>
      <c r="D209" s="20" t="s">
        <v>1720</v>
      </c>
    </row>
    <row r="210" spans="1:4" s="7" customFormat="1" x14ac:dyDescent="0.3">
      <c r="A210" s="102">
        <v>41457</v>
      </c>
      <c r="B210" s="20" t="s">
        <v>1619</v>
      </c>
      <c r="C210" s="20" t="s">
        <v>1721</v>
      </c>
      <c r="D210" s="20" t="s">
        <v>1722</v>
      </c>
    </row>
    <row r="211" spans="1:4" s="7" customFormat="1" x14ac:dyDescent="0.3">
      <c r="A211" s="102">
        <v>41457</v>
      </c>
      <c r="B211" s="20" t="s">
        <v>1622</v>
      </c>
      <c r="C211" s="20" t="s">
        <v>1723</v>
      </c>
      <c r="D211" s="20" t="s">
        <v>1724</v>
      </c>
    </row>
    <row r="212" spans="1:4" s="7" customFormat="1" x14ac:dyDescent="0.3">
      <c r="A212" s="102">
        <v>41457</v>
      </c>
      <c r="B212" s="20" t="s">
        <v>1725</v>
      </c>
      <c r="C212" s="20" t="s">
        <v>1726</v>
      </c>
      <c r="D212" s="20" t="s">
        <v>1727</v>
      </c>
    </row>
    <row r="213" spans="1:4" s="7" customFormat="1" x14ac:dyDescent="0.3">
      <c r="A213" s="102">
        <v>41457</v>
      </c>
      <c r="B213" s="20" t="s">
        <v>1625</v>
      </c>
      <c r="C213" s="20" t="s">
        <v>1728</v>
      </c>
      <c r="D213" s="20" t="s">
        <v>1729</v>
      </c>
    </row>
    <row r="214" spans="1:4" s="7" customFormat="1" x14ac:dyDescent="0.3">
      <c r="A214" s="102">
        <v>41457</v>
      </c>
      <c r="B214" s="20" t="s">
        <v>1730</v>
      </c>
      <c r="C214" s="20" t="s">
        <v>1731</v>
      </c>
      <c r="D214" s="20" t="s">
        <v>1732</v>
      </c>
    </row>
    <row r="215" spans="1:4" s="7" customFormat="1" x14ac:dyDescent="0.3">
      <c r="A215" s="102">
        <v>41457</v>
      </c>
      <c r="B215" s="20" t="s">
        <v>1628</v>
      </c>
      <c r="C215" s="20" t="s">
        <v>1733</v>
      </c>
      <c r="D215" s="20" t="s">
        <v>1734</v>
      </c>
    </row>
    <row r="216" spans="1:4" s="7" customFormat="1" x14ac:dyDescent="0.3">
      <c r="A216" s="102">
        <v>41457</v>
      </c>
      <c r="B216" s="20" t="s">
        <v>1735</v>
      </c>
      <c r="C216" s="20" t="s">
        <v>1736</v>
      </c>
      <c r="D216" s="20" t="s">
        <v>1737</v>
      </c>
    </row>
    <row r="217" spans="1:4" s="7" customFormat="1" x14ac:dyDescent="0.3">
      <c r="A217" s="102">
        <v>41457</v>
      </c>
      <c r="B217" s="20" t="s">
        <v>1631</v>
      </c>
      <c r="C217" s="20" t="s">
        <v>1738</v>
      </c>
      <c r="D217" s="20" t="s">
        <v>1739</v>
      </c>
    </row>
    <row r="218" spans="1:4" s="7" customFormat="1" x14ac:dyDescent="0.3">
      <c r="A218" s="102">
        <v>41457</v>
      </c>
      <c r="B218" s="20" t="s">
        <v>1740</v>
      </c>
      <c r="C218" s="20" t="s">
        <v>1741</v>
      </c>
      <c r="D218" s="20" t="s">
        <v>1742</v>
      </c>
    </row>
    <row r="219" spans="1:4" s="7" customFormat="1" x14ac:dyDescent="0.3">
      <c r="A219" s="102">
        <v>41457</v>
      </c>
      <c r="B219" s="20" t="s">
        <v>1634</v>
      </c>
      <c r="C219" s="20" t="s">
        <v>1743</v>
      </c>
      <c r="D219" s="20" t="s">
        <v>1744</v>
      </c>
    </row>
    <row r="220" spans="1:4" s="7" customFormat="1" x14ac:dyDescent="0.3">
      <c r="A220" s="102">
        <v>41457</v>
      </c>
      <c r="B220" s="20" t="s">
        <v>1745</v>
      </c>
      <c r="C220" s="20" t="s">
        <v>1746</v>
      </c>
      <c r="D220" s="20" t="s">
        <v>1747</v>
      </c>
    </row>
    <row r="221" spans="1:4" s="7" customFormat="1" x14ac:dyDescent="0.3">
      <c r="A221" s="102">
        <v>41457</v>
      </c>
      <c r="B221" s="20" t="s">
        <v>1637</v>
      </c>
      <c r="C221" s="20" t="s">
        <v>1748</v>
      </c>
      <c r="D221" s="20" t="s">
        <v>1749</v>
      </c>
    </row>
    <row r="222" spans="1:4" s="7" customFormat="1" x14ac:dyDescent="0.3">
      <c r="A222" s="102">
        <v>41457</v>
      </c>
      <c r="B222" s="20" t="s">
        <v>1750</v>
      </c>
      <c r="C222" s="20" t="s">
        <v>1751</v>
      </c>
      <c r="D222" s="20" t="s">
        <v>1752</v>
      </c>
    </row>
    <row r="223" spans="1:4" s="7" customFormat="1" x14ac:dyDescent="0.3">
      <c r="A223" s="102">
        <v>41457</v>
      </c>
      <c r="B223" s="20" t="s">
        <v>1640</v>
      </c>
      <c r="C223" s="20" t="s">
        <v>1753</v>
      </c>
      <c r="D223" s="20" t="s">
        <v>1754</v>
      </c>
    </row>
    <row r="224" spans="1:4" s="7" customFormat="1" x14ac:dyDescent="0.3">
      <c r="A224" s="102">
        <v>41457</v>
      </c>
      <c r="B224" s="20" t="s">
        <v>1755</v>
      </c>
      <c r="C224" s="20" t="s">
        <v>1756</v>
      </c>
      <c r="D224" s="20" t="s">
        <v>1757</v>
      </c>
    </row>
    <row r="225" spans="1:4" s="7" customFormat="1" x14ac:dyDescent="0.3">
      <c r="A225" s="102">
        <v>41457</v>
      </c>
      <c r="B225" s="20" t="s">
        <v>1643</v>
      </c>
      <c r="C225" s="20" t="s">
        <v>1758</v>
      </c>
      <c r="D225" s="20" t="s">
        <v>1759</v>
      </c>
    </row>
    <row r="226" spans="1:4" s="7" customFormat="1" x14ac:dyDescent="0.3">
      <c r="A226" s="102">
        <v>41457</v>
      </c>
      <c r="B226" s="20" t="s">
        <v>1760</v>
      </c>
      <c r="C226" s="20" t="s">
        <v>1761</v>
      </c>
      <c r="D226" s="20" t="s">
        <v>1762</v>
      </c>
    </row>
    <row r="227" spans="1:4" s="7" customFormat="1" x14ac:dyDescent="0.3">
      <c r="A227" s="102">
        <v>41457</v>
      </c>
      <c r="B227" s="20" t="s">
        <v>1647</v>
      </c>
      <c r="C227" s="20" t="s">
        <v>1763</v>
      </c>
      <c r="D227" s="20" t="s">
        <v>1764</v>
      </c>
    </row>
    <row r="228" spans="1:4" s="7" customFormat="1" x14ac:dyDescent="0.3">
      <c r="A228" s="102">
        <v>41457</v>
      </c>
      <c r="B228" s="20" t="s">
        <v>1650</v>
      </c>
      <c r="C228" s="20" t="s">
        <v>1765</v>
      </c>
      <c r="D228" s="20" t="s">
        <v>1766</v>
      </c>
    </row>
    <row r="229" spans="1:4" s="7" customFormat="1" x14ac:dyDescent="0.3">
      <c r="A229" s="102">
        <v>41457</v>
      </c>
      <c r="B229" s="20" t="s">
        <v>1767</v>
      </c>
      <c r="C229" s="20" t="s">
        <v>1768</v>
      </c>
      <c r="D229" s="20" t="s">
        <v>1769</v>
      </c>
    </row>
    <row r="230" spans="1:4" s="7" customFormat="1" x14ac:dyDescent="0.3">
      <c r="A230" s="102">
        <v>41457</v>
      </c>
      <c r="B230" s="20" t="s">
        <v>1653</v>
      </c>
      <c r="C230" s="20" t="s">
        <v>1770</v>
      </c>
      <c r="D230" s="20" t="s">
        <v>1771</v>
      </c>
    </row>
    <row r="231" spans="1:4" s="7" customFormat="1" x14ac:dyDescent="0.3">
      <c r="A231" s="102">
        <v>41457</v>
      </c>
      <c r="B231" s="20" t="s">
        <v>1772</v>
      </c>
      <c r="C231" s="20" t="s">
        <v>1773</v>
      </c>
      <c r="D231" s="20" t="s">
        <v>1774</v>
      </c>
    </row>
    <row r="232" spans="1:4" s="7" customFormat="1" x14ac:dyDescent="0.3">
      <c r="A232" s="102">
        <v>41457</v>
      </c>
      <c r="B232" s="20" t="s">
        <v>1656</v>
      </c>
      <c r="C232" s="20" t="s">
        <v>1775</v>
      </c>
      <c r="D232" s="20" t="s">
        <v>1776</v>
      </c>
    </row>
    <row r="233" spans="1:4" s="7" customFormat="1" x14ac:dyDescent="0.3">
      <c r="A233" s="102">
        <v>41457</v>
      </c>
      <c r="B233" s="20" t="s">
        <v>1181</v>
      </c>
      <c r="C233" s="20" t="s">
        <v>1183</v>
      </c>
      <c r="D233" s="20" t="s">
        <v>1777</v>
      </c>
    </row>
    <row r="234" spans="1:4" s="7" customFormat="1" x14ac:dyDescent="0.3">
      <c r="A234" s="102">
        <v>41457</v>
      </c>
      <c r="B234" s="20" t="s">
        <v>1193</v>
      </c>
      <c r="C234" s="20" t="s">
        <v>1195</v>
      </c>
      <c r="D234" s="20" t="s">
        <v>1778</v>
      </c>
    </row>
    <row r="235" spans="1:4" s="7" customFormat="1" x14ac:dyDescent="0.3">
      <c r="A235" s="102">
        <v>41457</v>
      </c>
      <c r="B235" s="20" t="s">
        <v>1196</v>
      </c>
      <c r="C235" s="20" t="s">
        <v>1198</v>
      </c>
      <c r="D235" s="20" t="s">
        <v>1779</v>
      </c>
    </row>
    <row r="236" spans="1:4" s="7" customFormat="1" x14ac:dyDescent="0.3">
      <c r="A236" s="105">
        <v>41530</v>
      </c>
      <c r="B236" s="21" t="s">
        <v>313</v>
      </c>
      <c r="C236" s="21" t="s">
        <v>421</v>
      </c>
      <c r="D236" s="21" t="s">
        <v>1782</v>
      </c>
    </row>
    <row r="237" spans="1:4" s="7" customFormat="1" x14ac:dyDescent="0.3">
      <c r="A237" s="105">
        <v>41530</v>
      </c>
      <c r="B237" s="21" t="s">
        <v>315</v>
      </c>
      <c r="C237" s="21" t="s">
        <v>423</v>
      </c>
      <c r="D237" s="21" t="s">
        <v>1783</v>
      </c>
    </row>
    <row r="238" spans="1:4" s="7" customFormat="1" x14ac:dyDescent="0.3">
      <c r="A238" s="105">
        <v>41530</v>
      </c>
      <c r="B238" s="21" t="s">
        <v>316</v>
      </c>
      <c r="C238" s="21" t="s">
        <v>425</v>
      </c>
      <c r="D238" s="21" t="s">
        <v>1784</v>
      </c>
    </row>
    <row r="239" spans="1:4" s="7" customFormat="1" x14ac:dyDescent="0.3">
      <c r="A239" s="105">
        <v>41530</v>
      </c>
      <c r="B239" s="21" t="s">
        <v>1785</v>
      </c>
      <c r="C239" s="21" t="s">
        <v>1786</v>
      </c>
      <c r="D239" s="21" t="s">
        <v>1787</v>
      </c>
    </row>
    <row r="240" spans="1:4" s="7" customFormat="1" x14ac:dyDescent="0.3">
      <c r="A240" s="105">
        <v>41530</v>
      </c>
      <c r="B240" s="21" t="s">
        <v>1788</v>
      </c>
      <c r="C240" s="21" t="s">
        <v>1786</v>
      </c>
      <c r="D240" s="21" t="s">
        <v>1787</v>
      </c>
    </row>
    <row r="241" spans="1:4" s="7" customFormat="1" x14ac:dyDescent="0.3">
      <c r="A241" s="105">
        <v>41530</v>
      </c>
      <c r="B241" s="21" t="s">
        <v>1789</v>
      </c>
      <c r="C241" s="21" t="s">
        <v>1786</v>
      </c>
      <c r="D241" s="21" t="s">
        <v>1787</v>
      </c>
    </row>
    <row r="242" spans="1:4" s="7" customFormat="1" x14ac:dyDescent="0.3">
      <c r="A242" s="105">
        <v>41530</v>
      </c>
      <c r="B242" s="21" t="s">
        <v>1790</v>
      </c>
      <c r="C242" s="21" t="s">
        <v>1791</v>
      </c>
      <c r="D242" s="21" t="s">
        <v>1792</v>
      </c>
    </row>
    <row r="243" spans="1:4" s="7" customFormat="1" x14ac:dyDescent="0.3">
      <c r="A243" s="105">
        <v>41530</v>
      </c>
      <c r="B243" s="21" t="s">
        <v>1793</v>
      </c>
      <c r="C243" s="21" t="s">
        <v>1791</v>
      </c>
      <c r="D243" s="21" t="s">
        <v>1792</v>
      </c>
    </row>
    <row r="244" spans="1:4" s="7" customFormat="1" x14ac:dyDescent="0.3">
      <c r="A244" s="105">
        <v>41530</v>
      </c>
      <c r="B244" s="21" t="s">
        <v>1794</v>
      </c>
      <c r="C244" s="21" t="s">
        <v>1791</v>
      </c>
      <c r="D244" s="21" t="s">
        <v>1792</v>
      </c>
    </row>
    <row r="245" spans="1:4" s="7" customFormat="1" x14ac:dyDescent="0.3">
      <c r="A245" s="105">
        <v>41530</v>
      </c>
      <c r="B245" s="21" t="s">
        <v>1850</v>
      </c>
      <c r="C245" s="21" t="s">
        <v>1851</v>
      </c>
      <c r="D245" s="21" t="s">
        <v>1852</v>
      </c>
    </row>
    <row r="246" spans="1:4" s="7" customFormat="1" x14ac:dyDescent="0.3">
      <c r="A246" s="105">
        <v>41530</v>
      </c>
      <c r="B246" s="21" t="s">
        <v>337</v>
      </c>
      <c r="C246" s="21" t="s">
        <v>1215</v>
      </c>
      <c r="D246" s="21" t="s">
        <v>1853</v>
      </c>
    </row>
    <row r="247" spans="1:4" s="7" customFormat="1" x14ac:dyDescent="0.3">
      <c r="A247" s="106">
        <v>41585</v>
      </c>
      <c r="B247" s="25" t="s">
        <v>626</v>
      </c>
      <c r="C247" s="25" t="s">
        <v>1862</v>
      </c>
      <c r="D247" s="25" t="s">
        <v>1863</v>
      </c>
    </row>
    <row r="249" spans="1:4" x14ac:dyDescent="0.3">
      <c r="A249" s="5" t="s">
        <v>3836</v>
      </c>
      <c r="B249" s="5" t="str">
        <f>"Change in source ("&amp;COUNTA(B250:B323)&amp;")"</f>
        <v>Change in source (73)</v>
      </c>
      <c r="C249" s="5" t="s">
        <v>307</v>
      </c>
      <c r="D249" s="5" t="s">
        <v>308</v>
      </c>
    </row>
    <row r="250" spans="1:4" x14ac:dyDescent="0.3">
      <c r="A250" s="97">
        <v>41381</v>
      </c>
      <c r="B250" t="s">
        <v>309</v>
      </c>
      <c r="C250" t="s">
        <v>310</v>
      </c>
      <c r="D250" t="s">
        <v>311</v>
      </c>
    </row>
    <row r="251" spans="1:4" x14ac:dyDescent="0.3">
      <c r="A251" s="97">
        <v>41381</v>
      </c>
      <c r="B251" t="s">
        <v>312</v>
      </c>
      <c r="C251" t="s">
        <v>310</v>
      </c>
      <c r="D251" t="s">
        <v>311</v>
      </c>
    </row>
    <row r="252" spans="1:4" x14ac:dyDescent="0.3">
      <c r="A252" s="97">
        <v>41381</v>
      </c>
      <c r="B252" t="s">
        <v>317</v>
      </c>
      <c r="C252" t="s">
        <v>318</v>
      </c>
      <c r="D252" t="s">
        <v>319</v>
      </c>
    </row>
    <row r="253" spans="1:4" x14ac:dyDescent="0.3">
      <c r="A253" s="97">
        <v>41381</v>
      </c>
      <c r="B253" t="s">
        <v>320</v>
      </c>
      <c r="C253" t="s">
        <v>318</v>
      </c>
      <c r="D253" t="s">
        <v>319</v>
      </c>
    </row>
    <row r="254" spans="1:4" x14ac:dyDescent="0.3">
      <c r="A254" s="97">
        <v>41381</v>
      </c>
      <c r="B254" t="s">
        <v>295</v>
      </c>
      <c r="C254" t="s">
        <v>323</v>
      </c>
      <c r="D254" t="s">
        <v>324</v>
      </c>
    </row>
    <row r="255" spans="1:4" x14ac:dyDescent="0.3">
      <c r="A255" s="97">
        <v>41381</v>
      </c>
      <c r="B255" t="s">
        <v>325</v>
      </c>
      <c r="C255" t="s">
        <v>326</v>
      </c>
      <c r="D255" t="s">
        <v>327</v>
      </c>
    </row>
    <row r="256" spans="1:4" x14ac:dyDescent="0.3">
      <c r="A256" s="97">
        <v>41381</v>
      </c>
      <c r="B256" t="s">
        <v>328</v>
      </c>
      <c r="C256" t="s">
        <v>329</v>
      </c>
      <c r="D256" t="s">
        <v>330</v>
      </c>
    </row>
    <row r="257" spans="1:4" x14ac:dyDescent="0.3">
      <c r="A257" s="97">
        <v>41381</v>
      </c>
      <c r="B257" t="s">
        <v>331</v>
      </c>
      <c r="C257" t="s">
        <v>329</v>
      </c>
      <c r="D257" t="s">
        <v>330</v>
      </c>
    </row>
    <row r="258" spans="1:4" x14ac:dyDescent="0.3">
      <c r="A258" s="97">
        <v>41381</v>
      </c>
      <c r="B258" t="s">
        <v>332</v>
      </c>
      <c r="C258" t="s">
        <v>329</v>
      </c>
      <c r="D258" t="s">
        <v>330</v>
      </c>
    </row>
    <row r="259" spans="1:4" x14ac:dyDescent="0.3">
      <c r="A259" s="97">
        <v>41381</v>
      </c>
      <c r="B259" t="s">
        <v>333</v>
      </c>
      <c r="C259" t="s">
        <v>329</v>
      </c>
      <c r="D259" t="s">
        <v>330</v>
      </c>
    </row>
    <row r="260" spans="1:4" x14ac:dyDescent="0.3">
      <c r="A260" s="97">
        <v>41381</v>
      </c>
      <c r="B260" t="s">
        <v>334</v>
      </c>
      <c r="C260" t="s">
        <v>329</v>
      </c>
      <c r="D260" t="s">
        <v>330</v>
      </c>
    </row>
    <row r="261" spans="1:4" x14ac:dyDescent="0.3">
      <c r="A261" s="97">
        <v>41381</v>
      </c>
      <c r="B261" t="s">
        <v>335</v>
      </c>
      <c r="C261" t="s">
        <v>329</v>
      </c>
      <c r="D261" t="s">
        <v>330</v>
      </c>
    </row>
    <row r="262" spans="1:4" x14ac:dyDescent="0.3">
      <c r="A262" s="97">
        <v>41381</v>
      </c>
      <c r="B262" t="s">
        <v>336</v>
      </c>
      <c r="C262" t="s">
        <v>329</v>
      </c>
      <c r="D262" t="s">
        <v>330</v>
      </c>
    </row>
    <row r="263" spans="1:4" x14ac:dyDescent="0.3">
      <c r="A263" s="97">
        <v>41381</v>
      </c>
      <c r="B263" t="s">
        <v>337</v>
      </c>
      <c r="C263" t="s">
        <v>329</v>
      </c>
      <c r="D263" t="s">
        <v>330</v>
      </c>
    </row>
    <row r="264" spans="1:4" x14ac:dyDescent="0.3">
      <c r="A264" s="97">
        <v>41381</v>
      </c>
      <c r="B264" t="s">
        <v>338</v>
      </c>
      <c r="C264" t="s">
        <v>329</v>
      </c>
      <c r="D264" t="s">
        <v>330</v>
      </c>
    </row>
    <row r="265" spans="1:4" x14ac:dyDescent="0.3">
      <c r="A265" s="97">
        <v>41381</v>
      </c>
      <c r="B265" t="s">
        <v>339</v>
      </c>
      <c r="C265" t="s">
        <v>340</v>
      </c>
      <c r="D265" t="s">
        <v>341</v>
      </c>
    </row>
    <row r="266" spans="1:4" x14ac:dyDescent="0.3">
      <c r="A266" s="97">
        <v>41381</v>
      </c>
      <c r="B266" t="s">
        <v>342</v>
      </c>
      <c r="C266" t="s">
        <v>340</v>
      </c>
      <c r="D266" t="s">
        <v>341</v>
      </c>
    </row>
    <row r="267" spans="1:4" x14ac:dyDescent="0.3">
      <c r="A267" s="97">
        <v>41381</v>
      </c>
      <c r="B267" t="s">
        <v>343</v>
      </c>
      <c r="C267" t="s">
        <v>340</v>
      </c>
      <c r="D267" t="s">
        <v>341</v>
      </c>
    </row>
    <row r="268" spans="1:4" x14ac:dyDescent="0.3">
      <c r="A268" s="97">
        <v>41381</v>
      </c>
      <c r="B268" t="s">
        <v>344</v>
      </c>
      <c r="C268" t="s">
        <v>340</v>
      </c>
      <c r="D268" t="s">
        <v>341</v>
      </c>
    </row>
    <row r="269" spans="1:4" x14ac:dyDescent="0.3">
      <c r="A269" s="97">
        <v>41381</v>
      </c>
      <c r="B269" t="s">
        <v>345</v>
      </c>
      <c r="C269" t="s">
        <v>340</v>
      </c>
      <c r="D269" t="s">
        <v>341</v>
      </c>
    </row>
    <row r="270" spans="1:4" x14ac:dyDescent="0.3">
      <c r="A270" s="97">
        <v>41381</v>
      </c>
      <c r="B270" t="s">
        <v>346</v>
      </c>
      <c r="C270" t="s">
        <v>340</v>
      </c>
      <c r="D270" t="s">
        <v>341</v>
      </c>
    </row>
    <row r="271" spans="1:4" x14ac:dyDescent="0.3">
      <c r="A271" s="97">
        <v>41381</v>
      </c>
      <c r="B271" t="s">
        <v>347</v>
      </c>
      <c r="C271" t="s">
        <v>340</v>
      </c>
      <c r="D271" t="s">
        <v>341</v>
      </c>
    </row>
    <row r="272" spans="1:4" x14ac:dyDescent="0.3">
      <c r="A272" s="97">
        <v>41381</v>
      </c>
      <c r="B272" t="s">
        <v>348</v>
      </c>
      <c r="C272" t="s">
        <v>340</v>
      </c>
      <c r="D272" t="s">
        <v>341</v>
      </c>
    </row>
    <row r="273" spans="1:4" x14ac:dyDescent="0.3">
      <c r="A273" s="97">
        <v>41381</v>
      </c>
      <c r="B273" t="s">
        <v>349</v>
      </c>
      <c r="C273" t="s">
        <v>340</v>
      </c>
      <c r="D273" t="s">
        <v>341</v>
      </c>
    </row>
    <row r="274" spans="1:4" x14ac:dyDescent="0.3">
      <c r="A274" s="97">
        <v>41381</v>
      </c>
      <c r="B274" t="s">
        <v>350</v>
      </c>
      <c r="C274" t="s">
        <v>340</v>
      </c>
      <c r="D274" t="s">
        <v>341</v>
      </c>
    </row>
    <row r="275" spans="1:4" x14ac:dyDescent="0.3">
      <c r="A275" s="97">
        <v>41381</v>
      </c>
      <c r="B275" t="s">
        <v>351</v>
      </c>
      <c r="C275" t="s">
        <v>352</v>
      </c>
      <c r="D275" t="s">
        <v>353</v>
      </c>
    </row>
    <row r="276" spans="1:4" x14ac:dyDescent="0.3">
      <c r="A276" s="97">
        <v>41381</v>
      </c>
      <c r="B276" t="s">
        <v>354</v>
      </c>
      <c r="C276" t="s">
        <v>352</v>
      </c>
      <c r="D276" t="s">
        <v>353</v>
      </c>
    </row>
    <row r="277" spans="1:4" x14ac:dyDescent="0.3">
      <c r="A277" s="97">
        <v>41381</v>
      </c>
      <c r="B277" t="s">
        <v>355</v>
      </c>
      <c r="C277" t="s">
        <v>352</v>
      </c>
      <c r="D277" t="s">
        <v>353</v>
      </c>
    </row>
    <row r="278" spans="1:4" x14ac:dyDescent="0.3">
      <c r="A278" s="97">
        <v>41381</v>
      </c>
      <c r="B278" t="s">
        <v>356</v>
      </c>
      <c r="C278" t="s">
        <v>352</v>
      </c>
      <c r="D278" t="s">
        <v>353</v>
      </c>
    </row>
    <row r="279" spans="1:4" x14ac:dyDescent="0.3">
      <c r="A279" s="97">
        <v>41381</v>
      </c>
      <c r="B279" t="s">
        <v>357</v>
      </c>
      <c r="C279" t="s">
        <v>352</v>
      </c>
      <c r="D279" t="s">
        <v>353</v>
      </c>
    </row>
    <row r="280" spans="1:4" x14ac:dyDescent="0.3">
      <c r="A280" s="97">
        <v>41381</v>
      </c>
      <c r="B280" t="s">
        <v>358</v>
      </c>
      <c r="C280" t="s">
        <v>352</v>
      </c>
      <c r="D280" t="s">
        <v>353</v>
      </c>
    </row>
    <row r="281" spans="1:4" x14ac:dyDescent="0.3">
      <c r="A281" s="97">
        <v>41381</v>
      </c>
      <c r="B281" t="s">
        <v>359</v>
      </c>
      <c r="C281" t="s">
        <v>360</v>
      </c>
      <c r="D281" t="s">
        <v>102</v>
      </c>
    </row>
    <row r="282" spans="1:4" x14ac:dyDescent="0.3">
      <c r="A282" s="97">
        <v>41381</v>
      </c>
      <c r="B282" t="s">
        <v>361</v>
      </c>
      <c r="C282" t="s">
        <v>362</v>
      </c>
      <c r="D282" t="s">
        <v>363</v>
      </c>
    </row>
    <row r="283" spans="1:4" x14ac:dyDescent="0.3">
      <c r="A283" s="97">
        <v>41381</v>
      </c>
      <c r="B283" t="s">
        <v>365</v>
      </c>
      <c r="C283" t="s">
        <v>310</v>
      </c>
      <c r="D283" t="s">
        <v>311</v>
      </c>
    </row>
    <row r="284" spans="1:4" x14ac:dyDescent="0.3">
      <c r="A284" s="97">
        <v>41381</v>
      </c>
      <c r="B284" t="s">
        <v>366</v>
      </c>
      <c r="C284" t="s">
        <v>310</v>
      </c>
      <c r="D284" t="s">
        <v>311</v>
      </c>
    </row>
    <row r="285" spans="1:4" x14ac:dyDescent="0.3">
      <c r="A285" s="97">
        <v>41381</v>
      </c>
      <c r="B285" t="s">
        <v>367</v>
      </c>
      <c r="C285" t="s">
        <v>310</v>
      </c>
      <c r="D285" t="s">
        <v>311</v>
      </c>
    </row>
    <row r="286" spans="1:4" x14ac:dyDescent="0.3">
      <c r="A286" s="97">
        <v>41381</v>
      </c>
      <c r="B286" t="s">
        <v>368</v>
      </c>
      <c r="C286" t="s">
        <v>369</v>
      </c>
      <c r="D286" t="s">
        <v>370</v>
      </c>
    </row>
    <row r="287" spans="1:4" x14ac:dyDescent="0.3">
      <c r="A287" s="97">
        <v>41381</v>
      </c>
      <c r="B287" t="s">
        <v>371</v>
      </c>
      <c r="C287" t="s">
        <v>369</v>
      </c>
      <c r="D287" t="s">
        <v>370</v>
      </c>
    </row>
    <row r="288" spans="1:4" x14ac:dyDescent="0.3">
      <c r="A288" s="97">
        <v>41381</v>
      </c>
      <c r="B288" t="s">
        <v>372</v>
      </c>
      <c r="C288" t="s">
        <v>369</v>
      </c>
      <c r="D288" t="s">
        <v>370</v>
      </c>
    </row>
    <row r="289" spans="1:4" x14ac:dyDescent="0.3">
      <c r="A289" s="97">
        <v>41381</v>
      </c>
      <c r="B289" t="s">
        <v>373</v>
      </c>
      <c r="C289" t="s">
        <v>363</v>
      </c>
      <c r="D289" t="s">
        <v>362</v>
      </c>
    </row>
    <row r="290" spans="1:4" x14ac:dyDescent="0.3">
      <c r="A290" s="105">
        <v>41530</v>
      </c>
      <c r="B290" s="21" t="s">
        <v>313</v>
      </c>
      <c r="C290" s="21" t="s">
        <v>56</v>
      </c>
      <c r="D290" s="21" t="s">
        <v>1795</v>
      </c>
    </row>
    <row r="291" spans="1:4" x14ac:dyDescent="0.3">
      <c r="A291" s="105">
        <v>41530</v>
      </c>
      <c r="B291" s="21" t="s">
        <v>315</v>
      </c>
      <c r="C291" s="21" t="s">
        <v>56</v>
      </c>
      <c r="D291" s="21" t="s">
        <v>1795</v>
      </c>
    </row>
    <row r="292" spans="1:4" x14ac:dyDescent="0.3">
      <c r="A292" s="105">
        <v>41530</v>
      </c>
      <c r="B292" s="21" t="s">
        <v>316</v>
      </c>
      <c r="C292" s="21" t="s">
        <v>56</v>
      </c>
      <c r="D292" s="21" t="s">
        <v>1795</v>
      </c>
    </row>
    <row r="293" spans="1:4" x14ac:dyDescent="0.3">
      <c r="A293" s="105">
        <v>41530</v>
      </c>
      <c r="B293" s="21" t="s">
        <v>321</v>
      </c>
      <c r="C293" s="21" t="s">
        <v>56</v>
      </c>
      <c r="D293" s="21" t="s">
        <v>1795</v>
      </c>
    </row>
    <row r="294" spans="1:4" x14ac:dyDescent="0.3">
      <c r="A294" s="105">
        <v>41530</v>
      </c>
      <c r="B294" s="21" t="s">
        <v>53</v>
      </c>
      <c r="C294" s="21" t="s">
        <v>56</v>
      </c>
      <c r="D294" s="21" t="s">
        <v>1795</v>
      </c>
    </row>
    <row r="295" spans="1:4" x14ac:dyDescent="0.3">
      <c r="A295" s="105">
        <v>41530</v>
      </c>
      <c r="B295" s="21" t="s">
        <v>58</v>
      </c>
      <c r="C295" s="21" t="s">
        <v>56</v>
      </c>
      <c r="D295" s="21" t="s">
        <v>1795</v>
      </c>
    </row>
    <row r="296" spans="1:4" x14ac:dyDescent="0.3">
      <c r="A296" s="105">
        <v>41530</v>
      </c>
      <c r="B296" s="21" t="s">
        <v>322</v>
      </c>
      <c r="C296" s="21" t="s">
        <v>56</v>
      </c>
      <c r="D296" s="21" t="s">
        <v>1795</v>
      </c>
    </row>
    <row r="297" spans="1:4" x14ac:dyDescent="0.3">
      <c r="A297" s="105">
        <v>41530</v>
      </c>
      <c r="B297" s="21" t="s">
        <v>1785</v>
      </c>
      <c r="C297" s="21" t="s">
        <v>1796</v>
      </c>
      <c r="D297" s="21" t="s">
        <v>1797</v>
      </c>
    </row>
    <row r="298" spans="1:4" x14ac:dyDescent="0.3">
      <c r="A298" s="105">
        <v>41530</v>
      </c>
      <c r="B298" s="21" t="s">
        <v>1788</v>
      </c>
      <c r="C298" s="21" t="s">
        <v>1796</v>
      </c>
      <c r="D298" s="21" t="s">
        <v>1797</v>
      </c>
    </row>
    <row r="299" spans="1:4" x14ac:dyDescent="0.3">
      <c r="A299" s="105">
        <v>41530</v>
      </c>
      <c r="B299" s="21" t="s">
        <v>1789</v>
      </c>
      <c r="C299" s="21" t="s">
        <v>1796</v>
      </c>
      <c r="D299" s="21" t="s">
        <v>1797</v>
      </c>
    </row>
    <row r="300" spans="1:4" x14ac:dyDescent="0.3">
      <c r="A300" s="105">
        <v>41530</v>
      </c>
      <c r="B300" s="21" t="s">
        <v>1790</v>
      </c>
      <c r="C300" s="21" t="s">
        <v>1796</v>
      </c>
      <c r="D300" s="21" t="s">
        <v>1797</v>
      </c>
    </row>
    <row r="301" spans="1:4" x14ac:dyDescent="0.3">
      <c r="A301" s="105">
        <v>41530</v>
      </c>
      <c r="B301" s="21" t="s">
        <v>1793</v>
      </c>
      <c r="C301" s="21" t="s">
        <v>1796</v>
      </c>
      <c r="D301" s="21" t="s">
        <v>1797</v>
      </c>
    </row>
    <row r="302" spans="1:4" x14ac:dyDescent="0.3">
      <c r="A302" s="105">
        <v>41530</v>
      </c>
      <c r="B302" s="21" t="s">
        <v>1794</v>
      </c>
      <c r="C302" s="21" t="s">
        <v>1796</v>
      </c>
      <c r="D302" s="21" t="s">
        <v>1797</v>
      </c>
    </row>
    <row r="303" spans="1:4" x14ac:dyDescent="0.3">
      <c r="A303" s="105">
        <v>41530</v>
      </c>
      <c r="B303" s="21" t="s">
        <v>364</v>
      </c>
      <c r="C303" s="21" t="s">
        <v>56</v>
      </c>
      <c r="D303" s="21" t="s">
        <v>1795</v>
      </c>
    </row>
    <row r="304" spans="1:4" x14ac:dyDescent="0.3">
      <c r="A304" s="109">
        <v>41564</v>
      </c>
      <c r="B304" s="22" t="s">
        <v>1275</v>
      </c>
      <c r="C304" s="22" t="s">
        <v>1278</v>
      </c>
      <c r="D304" s="22" t="s">
        <v>1855</v>
      </c>
    </row>
    <row r="305" spans="1:4" x14ac:dyDescent="0.3">
      <c r="A305" s="109">
        <v>41564</v>
      </c>
      <c r="B305" s="23" t="s">
        <v>67</v>
      </c>
      <c r="C305" s="22" t="s">
        <v>70</v>
      </c>
      <c r="D305" s="24" t="s">
        <v>1856</v>
      </c>
    </row>
    <row r="306" spans="1:4" x14ac:dyDescent="0.3">
      <c r="A306" s="109">
        <v>41564</v>
      </c>
      <c r="B306" s="22" t="s">
        <v>71</v>
      </c>
      <c r="C306" s="22" t="s">
        <v>70</v>
      </c>
      <c r="D306" s="24" t="s">
        <v>1856</v>
      </c>
    </row>
    <row r="307" spans="1:4" x14ac:dyDescent="0.3">
      <c r="A307" s="109">
        <v>41564</v>
      </c>
      <c r="B307" s="22" t="s">
        <v>964</v>
      </c>
      <c r="C307" s="22" t="s">
        <v>965</v>
      </c>
      <c r="D307" s="24" t="s">
        <v>1857</v>
      </c>
    </row>
    <row r="308" spans="1:4" x14ac:dyDescent="0.3">
      <c r="A308" s="109">
        <v>41564</v>
      </c>
      <c r="B308" s="22" t="s">
        <v>73</v>
      </c>
      <c r="C308" s="22" t="s">
        <v>70</v>
      </c>
      <c r="D308" s="24" t="s">
        <v>1856</v>
      </c>
    </row>
    <row r="309" spans="1:4" x14ac:dyDescent="0.3">
      <c r="A309" s="109">
        <v>41564</v>
      </c>
      <c r="B309" s="22" t="s">
        <v>76</v>
      </c>
      <c r="C309" s="22" t="s">
        <v>70</v>
      </c>
      <c r="D309" s="24" t="s">
        <v>1856</v>
      </c>
    </row>
    <row r="310" spans="1:4" x14ac:dyDescent="0.3">
      <c r="A310" s="109">
        <v>41564</v>
      </c>
      <c r="B310" s="22" t="s">
        <v>1858</v>
      </c>
      <c r="C310" s="22" t="s">
        <v>70</v>
      </c>
      <c r="D310" s="24" t="s">
        <v>1857</v>
      </c>
    </row>
    <row r="311" spans="1:4" x14ac:dyDescent="0.3">
      <c r="A311" s="109">
        <v>41564</v>
      </c>
      <c r="B311" s="22" t="s">
        <v>78</v>
      </c>
      <c r="C311" s="22" t="s">
        <v>70</v>
      </c>
      <c r="D311" s="24" t="s">
        <v>1856</v>
      </c>
    </row>
    <row r="312" spans="1:4" x14ac:dyDescent="0.3">
      <c r="A312" s="109">
        <v>41564</v>
      </c>
      <c r="B312" s="22" t="s">
        <v>81</v>
      </c>
      <c r="C312" s="22" t="s">
        <v>70</v>
      </c>
      <c r="D312" s="24" t="s">
        <v>1856</v>
      </c>
    </row>
    <row r="313" spans="1:4" x14ac:dyDescent="0.3">
      <c r="A313" s="109">
        <v>41564</v>
      </c>
      <c r="B313" s="22" t="s">
        <v>1859</v>
      </c>
      <c r="C313" s="22" t="s">
        <v>70</v>
      </c>
      <c r="D313" s="24" t="s">
        <v>1857</v>
      </c>
    </row>
    <row r="314" spans="1:4" x14ac:dyDescent="0.3">
      <c r="A314" s="109">
        <v>41564</v>
      </c>
      <c r="B314" s="22" t="s">
        <v>83</v>
      </c>
      <c r="C314" s="22" t="s">
        <v>70</v>
      </c>
      <c r="D314" s="24" t="s">
        <v>1856</v>
      </c>
    </row>
    <row r="315" spans="1:4" x14ac:dyDescent="0.3">
      <c r="A315" s="109">
        <v>41564</v>
      </c>
      <c r="B315" s="22" t="s">
        <v>86</v>
      </c>
      <c r="C315" s="22" t="s">
        <v>70</v>
      </c>
      <c r="D315" s="24" t="s">
        <v>1856</v>
      </c>
    </row>
    <row r="316" spans="1:4" x14ac:dyDescent="0.3">
      <c r="A316" s="109">
        <v>41564</v>
      </c>
      <c r="B316" s="22" t="s">
        <v>1860</v>
      </c>
      <c r="C316" s="22" t="s">
        <v>70</v>
      </c>
      <c r="D316" s="24" t="s">
        <v>1857</v>
      </c>
    </row>
    <row r="317" spans="1:4" x14ac:dyDescent="0.3">
      <c r="A317" s="108">
        <v>41605</v>
      </c>
      <c r="B317" s="26" t="s">
        <v>292</v>
      </c>
      <c r="C317" s="26" t="s">
        <v>324</v>
      </c>
      <c r="D317" s="27" t="s">
        <v>1868</v>
      </c>
    </row>
    <row r="318" spans="1:4" x14ac:dyDescent="0.3">
      <c r="A318" s="108">
        <v>41605</v>
      </c>
      <c r="B318" s="26" t="s">
        <v>1865</v>
      </c>
      <c r="C318" s="26" t="s">
        <v>324</v>
      </c>
      <c r="D318" s="27" t="s">
        <v>1868</v>
      </c>
    </row>
    <row r="319" spans="1:4" x14ac:dyDescent="0.3">
      <c r="A319" s="108">
        <v>41605</v>
      </c>
      <c r="B319" s="26" t="s">
        <v>1207</v>
      </c>
      <c r="C319" s="26" t="s">
        <v>324</v>
      </c>
      <c r="D319" s="27" t="s">
        <v>1868</v>
      </c>
    </row>
    <row r="320" spans="1:4" x14ac:dyDescent="0.3">
      <c r="A320" s="108">
        <v>41605</v>
      </c>
      <c r="B320" s="26" t="s">
        <v>1866</v>
      </c>
      <c r="C320" s="26" t="s">
        <v>324</v>
      </c>
      <c r="D320" s="27" t="s">
        <v>1868</v>
      </c>
    </row>
    <row r="321" spans="1:4" x14ac:dyDescent="0.3">
      <c r="A321" s="108">
        <v>41605</v>
      </c>
      <c r="B321" s="26" t="s">
        <v>1867</v>
      </c>
      <c r="C321" s="26" t="s">
        <v>324</v>
      </c>
      <c r="D321" s="27" t="s">
        <v>1868</v>
      </c>
    </row>
    <row r="322" spans="1:4" x14ac:dyDescent="0.3">
      <c r="A322" s="108">
        <v>41605</v>
      </c>
      <c r="B322" s="26" t="s">
        <v>295</v>
      </c>
      <c r="C322" s="26" t="s">
        <v>324</v>
      </c>
      <c r="D322" s="27" t="s">
        <v>1868</v>
      </c>
    </row>
    <row r="324" spans="1:4" x14ac:dyDescent="0.3">
      <c r="A324" s="5" t="s">
        <v>3836</v>
      </c>
      <c r="B324" s="5" t="str">
        <f>"Change in topic ("&amp;COUNTA(B325:B337)&amp;")"</f>
        <v>Change in topic (0)</v>
      </c>
      <c r="C324" s="5" t="s">
        <v>374</v>
      </c>
      <c r="D324" s="5" t="s">
        <v>375</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B3F8-81A4-4214-A6D1-9BAF66C6D0B8}">
  <dimension ref="A1:F438"/>
  <sheetViews>
    <sheetView workbookViewId="0"/>
  </sheetViews>
  <sheetFormatPr defaultRowHeight="14.4" x14ac:dyDescent="0.3"/>
  <cols>
    <col min="1" max="1" width="11.6640625" style="101" customWidth="1"/>
    <col min="2" max="2" width="25" style="7" bestFit="1" customWidth="1"/>
    <col min="3" max="3" width="115.6640625" style="7" customWidth="1"/>
    <col min="4" max="4" width="41.44140625" customWidth="1"/>
    <col min="5" max="5" width="23.44140625" customWidth="1"/>
    <col min="6" max="6" width="25" customWidth="1"/>
  </cols>
  <sheetData>
    <row r="1" spans="1:6" x14ac:dyDescent="0.3">
      <c r="A1" s="99" t="s">
        <v>3836</v>
      </c>
      <c r="B1" s="6" t="s">
        <v>1531</v>
      </c>
      <c r="C1" s="5" t="s">
        <v>28</v>
      </c>
      <c r="D1" s="6" t="s">
        <v>29</v>
      </c>
      <c r="E1" s="5" t="s">
        <v>30</v>
      </c>
      <c r="F1" s="5" t="s">
        <v>31</v>
      </c>
    </row>
    <row r="2" spans="1:6" x14ac:dyDescent="0.3">
      <c r="A2" s="97">
        <v>41016</v>
      </c>
      <c r="B2" t="s">
        <v>376</v>
      </c>
      <c r="C2" s="7" t="s">
        <v>377</v>
      </c>
      <c r="D2" t="s">
        <v>378</v>
      </c>
      <c r="E2" t="s">
        <v>379</v>
      </c>
      <c r="F2" t="s">
        <v>380</v>
      </c>
    </row>
    <row r="3" spans="1:6" x14ac:dyDescent="0.3">
      <c r="A3" s="97">
        <v>41016</v>
      </c>
      <c r="B3" t="s">
        <v>381</v>
      </c>
      <c r="C3" s="7" t="s">
        <v>1556</v>
      </c>
      <c r="D3" t="s">
        <v>1557</v>
      </c>
      <c r="E3" t="s">
        <v>379</v>
      </c>
      <c r="F3" t="s">
        <v>380</v>
      </c>
    </row>
    <row r="4" spans="1:6" x14ac:dyDescent="0.3">
      <c r="A4" s="97">
        <v>41016</v>
      </c>
      <c r="B4" t="s">
        <v>1558</v>
      </c>
      <c r="C4" s="7" t="s">
        <v>1559</v>
      </c>
      <c r="D4" t="s">
        <v>382</v>
      </c>
      <c r="E4" t="s">
        <v>1560</v>
      </c>
      <c r="F4" t="s">
        <v>1561</v>
      </c>
    </row>
    <row r="5" spans="1:6" x14ac:dyDescent="0.3">
      <c r="A5" s="97">
        <v>41016</v>
      </c>
      <c r="B5" s="7" t="s">
        <v>1562</v>
      </c>
      <c r="C5" s="7" t="s">
        <v>1563</v>
      </c>
      <c r="D5" t="s">
        <v>383</v>
      </c>
      <c r="E5" t="s">
        <v>384</v>
      </c>
      <c r="F5" t="s">
        <v>385</v>
      </c>
    </row>
    <row r="6" spans="1:6" x14ac:dyDescent="0.3">
      <c r="A6" s="97">
        <v>41016</v>
      </c>
      <c r="B6" s="7" t="s">
        <v>1564</v>
      </c>
      <c r="C6" s="7" t="s">
        <v>1565</v>
      </c>
      <c r="D6" t="s">
        <v>386</v>
      </c>
      <c r="E6" t="s">
        <v>384</v>
      </c>
      <c r="F6" t="s">
        <v>385</v>
      </c>
    </row>
    <row r="7" spans="1:6" x14ac:dyDescent="0.3">
      <c r="A7" s="97">
        <v>41016</v>
      </c>
      <c r="B7" s="7" t="s">
        <v>1566</v>
      </c>
      <c r="C7" s="7" t="s">
        <v>1567</v>
      </c>
      <c r="D7" t="s">
        <v>387</v>
      </c>
      <c r="E7" t="s">
        <v>384</v>
      </c>
      <c r="F7" t="s">
        <v>385</v>
      </c>
    </row>
    <row r="8" spans="1:6" x14ac:dyDescent="0.3">
      <c r="A8" s="97">
        <v>41016</v>
      </c>
      <c r="B8" s="7" t="s">
        <v>1568</v>
      </c>
      <c r="C8" s="7" t="s">
        <v>1569</v>
      </c>
      <c r="D8" t="s">
        <v>388</v>
      </c>
      <c r="E8" t="s">
        <v>384</v>
      </c>
      <c r="F8" t="s">
        <v>385</v>
      </c>
    </row>
    <row r="9" spans="1:6" x14ac:dyDescent="0.3">
      <c r="A9" s="97">
        <v>41016</v>
      </c>
      <c r="B9" s="7" t="s">
        <v>1570</v>
      </c>
      <c r="C9" s="7" t="s">
        <v>1571</v>
      </c>
      <c r="D9" t="s">
        <v>389</v>
      </c>
      <c r="E9" t="s">
        <v>384</v>
      </c>
      <c r="F9" t="s">
        <v>385</v>
      </c>
    </row>
    <row r="10" spans="1:6" x14ac:dyDescent="0.3">
      <c r="A10" s="97">
        <v>41016</v>
      </c>
      <c r="B10" t="s">
        <v>390</v>
      </c>
      <c r="C10" s="7" t="s">
        <v>391</v>
      </c>
      <c r="D10" t="s">
        <v>392</v>
      </c>
      <c r="E10" t="s">
        <v>393</v>
      </c>
      <c r="F10" t="s">
        <v>394</v>
      </c>
    </row>
    <row r="11" spans="1:6" x14ac:dyDescent="0.3">
      <c r="A11" s="97">
        <v>41016</v>
      </c>
      <c r="B11" t="s">
        <v>395</v>
      </c>
      <c r="C11" s="7" t="s">
        <v>396</v>
      </c>
      <c r="D11" t="s">
        <v>397</v>
      </c>
      <c r="E11" t="s">
        <v>398</v>
      </c>
      <c r="F11" t="s">
        <v>399</v>
      </c>
    </row>
    <row r="12" spans="1:6" x14ac:dyDescent="0.3">
      <c r="A12" s="97">
        <v>41016</v>
      </c>
      <c r="B12" t="s">
        <v>400</v>
      </c>
      <c r="C12" s="7" t="s">
        <v>401</v>
      </c>
      <c r="D12" t="s">
        <v>402</v>
      </c>
      <c r="E12" t="s">
        <v>398</v>
      </c>
      <c r="F12" t="s">
        <v>399</v>
      </c>
    </row>
    <row r="13" spans="1:6" x14ac:dyDescent="0.3">
      <c r="A13" s="97">
        <v>41016</v>
      </c>
      <c r="B13" t="s">
        <v>403</v>
      </c>
      <c r="C13" s="7" t="s">
        <v>404</v>
      </c>
      <c r="D13" t="s">
        <v>405</v>
      </c>
      <c r="E13" t="s">
        <v>398</v>
      </c>
      <c r="F13" t="s">
        <v>399</v>
      </c>
    </row>
    <row r="14" spans="1:6" x14ac:dyDescent="0.3">
      <c r="A14" s="97">
        <v>41016</v>
      </c>
      <c r="B14" t="s">
        <v>406</v>
      </c>
      <c r="C14" s="7" t="s">
        <v>407</v>
      </c>
      <c r="D14" t="s">
        <v>408</v>
      </c>
      <c r="E14" t="s">
        <v>409</v>
      </c>
      <c r="F14" t="s">
        <v>38</v>
      </c>
    </row>
    <row r="15" spans="1:6" x14ac:dyDescent="0.3">
      <c r="A15" s="97">
        <v>41016</v>
      </c>
      <c r="B15" t="s">
        <v>410</v>
      </c>
      <c r="C15" s="7" t="s">
        <v>411</v>
      </c>
      <c r="D15" t="s">
        <v>412</v>
      </c>
      <c r="E15" t="s">
        <v>413</v>
      </c>
      <c r="F15" t="s">
        <v>414</v>
      </c>
    </row>
    <row r="16" spans="1:6" x14ac:dyDescent="0.3">
      <c r="A16" s="97">
        <v>41016</v>
      </c>
      <c r="B16" t="s">
        <v>415</v>
      </c>
      <c r="C16" s="7" t="s">
        <v>416</v>
      </c>
      <c r="D16" t="s">
        <v>417</v>
      </c>
      <c r="E16" t="s">
        <v>418</v>
      </c>
      <c r="F16" t="s">
        <v>419</v>
      </c>
    </row>
    <row r="17" spans="1:6" x14ac:dyDescent="0.3">
      <c r="A17" s="97">
        <v>41016</v>
      </c>
      <c r="B17" s="7" t="s">
        <v>313</v>
      </c>
      <c r="C17" s="7" t="s">
        <v>420</v>
      </c>
      <c r="D17" t="s">
        <v>421</v>
      </c>
      <c r="E17" s="7" t="s">
        <v>314</v>
      </c>
      <c r="F17" t="s">
        <v>57</v>
      </c>
    </row>
    <row r="18" spans="1:6" x14ac:dyDescent="0.3">
      <c r="A18" s="97">
        <v>41016</v>
      </c>
      <c r="B18" s="7" t="s">
        <v>315</v>
      </c>
      <c r="C18" s="7" t="s">
        <v>422</v>
      </c>
      <c r="D18" t="s">
        <v>423</v>
      </c>
      <c r="E18" s="7" t="s">
        <v>314</v>
      </c>
      <c r="F18" t="s">
        <v>57</v>
      </c>
    </row>
    <row r="19" spans="1:6" x14ac:dyDescent="0.3">
      <c r="A19" s="97">
        <v>41016</v>
      </c>
      <c r="B19" s="7" t="s">
        <v>316</v>
      </c>
      <c r="C19" s="7" t="s">
        <v>424</v>
      </c>
      <c r="D19" t="s">
        <v>425</v>
      </c>
      <c r="E19" s="7" t="s">
        <v>314</v>
      </c>
      <c r="F19" t="s">
        <v>57</v>
      </c>
    </row>
    <row r="20" spans="1:6" x14ac:dyDescent="0.3">
      <c r="A20" s="97">
        <v>41016</v>
      </c>
      <c r="B20" t="s">
        <v>295</v>
      </c>
      <c r="C20" s="7" t="s">
        <v>426</v>
      </c>
      <c r="D20" t="s">
        <v>296</v>
      </c>
      <c r="E20" t="s">
        <v>323</v>
      </c>
      <c r="F20" t="s">
        <v>427</v>
      </c>
    </row>
    <row r="21" spans="1:6" x14ac:dyDescent="0.3">
      <c r="A21" s="97">
        <v>41016</v>
      </c>
      <c r="B21" t="s">
        <v>428</v>
      </c>
      <c r="C21" s="7" t="s">
        <v>429</v>
      </c>
      <c r="D21" t="s">
        <v>430</v>
      </c>
      <c r="E21" t="s">
        <v>431</v>
      </c>
      <c r="F21" t="s">
        <v>432</v>
      </c>
    </row>
    <row r="22" spans="1:6" x14ac:dyDescent="0.3">
      <c r="A22" s="97">
        <v>41016</v>
      </c>
      <c r="B22" t="s">
        <v>442</v>
      </c>
      <c r="C22" s="7" t="s">
        <v>443</v>
      </c>
      <c r="D22" t="s">
        <v>444</v>
      </c>
      <c r="E22" t="s">
        <v>436</v>
      </c>
      <c r="F22" t="s">
        <v>437</v>
      </c>
    </row>
    <row r="23" spans="1:6" x14ac:dyDescent="0.3">
      <c r="A23" s="97">
        <v>41016</v>
      </c>
      <c r="B23" t="s">
        <v>445</v>
      </c>
      <c r="C23" s="7" t="s">
        <v>446</v>
      </c>
      <c r="D23" t="s">
        <v>444</v>
      </c>
      <c r="E23" t="s">
        <v>436</v>
      </c>
      <c r="F23" t="s">
        <v>437</v>
      </c>
    </row>
    <row r="24" spans="1:6" x14ac:dyDescent="0.3">
      <c r="A24" s="97">
        <v>41016</v>
      </c>
      <c r="B24" t="s">
        <v>447</v>
      </c>
      <c r="C24" s="7" t="s">
        <v>448</v>
      </c>
      <c r="D24" t="s">
        <v>444</v>
      </c>
      <c r="E24" t="s">
        <v>436</v>
      </c>
      <c r="F24" t="s">
        <v>437</v>
      </c>
    </row>
    <row r="25" spans="1:6" x14ac:dyDescent="0.3">
      <c r="A25" s="97">
        <v>41016</v>
      </c>
      <c r="B25" t="s">
        <v>449</v>
      </c>
      <c r="C25" s="7" t="s">
        <v>450</v>
      </c>
      <c r="D25" t="s">
        <v>451</v>
      </c>
      <c r="E25" t="s">
        <v>436</v>
      </c>
      <c r="F25" t="s">
        <v>437</v>
      </c>
    </row>
    <row r="26" spans="1:6" x14ac:dyDescent="0.3">
      <c r="A26" s="97">
        <v>41016</v>
      </c>
      <c r="B26" t="s">
        <v>452</v>
      </c>
      <c r="C26" s="7" t="s">
        <v>453</v>
      </c>
      <c r="D26" t="s">
        <v>454</v>
      </c>
      <c r="E26" t="s">
        <v>455</v>
      </c>
      <c r="F26" t="s">
        <v>456</v>
      </c>
    </row>
    <row r="27" spans="1:6" x14ac:dyDescent="0.3">
      <c r="E27" s="7"/>
    </row>
    <row r="28" spans="1:6" x14ac:dyDescent="0.3">
      <c r="A28" s="99" t="s">
        <v>3836</v>
      </c>
      <c r="B28" s="6" t="s">
        <v>457</v>
      </c>
      <c r="C28" s="5" t="s">
        <v>28</v>
      </c>
      <c r="D28" s="8"/>
      <c r="E28" s="7"/>
    </row>
    <row r="29" spans="1:6" s="7" customFormat="1" x14ac:dyDescent="0.3">
      <c r="A29" s="97">
        <v>41016</v>
      </c>
      <c r="B29" s="7" t="s">
        <v>458</v>
      </c>
      <c r="C29" s="7" t="s">
        <v>459</v>
      </c>
      <c r="D29" s="12"/>
    </row>
    <row r="30" spans="1:6" s="7" customFormat="1" x14ac:dyDescent="0.3">
      <c r="A30" s="97">
        <v>41016</v>
      </c>
      <c r="B30" s="7" t="s">
        <v>460</v>
      </c>
      <c r="C30" s="7" t="s">
        <v>461</v>
      </c>
      <c r="D30" s="12"/>
    </row>
    <row r="31" spans="1:6" s="7" customFormat="1" x14ac:dyDescent="0.3">
      <c r="A31" s="97">
        <v>41016</v>
      </c>
      <c r="B31" s="7" t="s">
        <v>462</v>
      </c>
      <c r="C31" s="7" t="s">
        <v>463</v>
      </c>
      <c r="D31" s="12"/>
    </row>
    <row r="32" spans="1:6" s="7" customFormat="1" x14ac:dyDescent="0.3">
      <c r="A32" s="97">
        <v>41016</v>
      </c>
      <c r="B32" s="7" t="s">
        <v>464</v>
      </c>
      <c r="C32" s="7" t="s">
        <v>465</v>
      </c>
      <c r="D32" s="12"/>
    </row>
    <row r="33" spans="1:4" s="7" customFormat="1" x14ac:dyDescent="0.3">
      <c r="A33" s="97">
        <v>41016</v>
      </c>
      <c r="B33" s="7" t="s">
        <v>466</v>
      </c>
      <c r="C33" s="7" t="s">
        <v>467</v>
      </c>
      <c r="D33" s="12"/>
    </row>
    <row r="34" spans="1:4" s="7" customFormat="1" x14ac:dyDescent="0.3">
      <c r="A34" s="97">
        <v>41016</v>
      </c>
      <c r="B34" s="7" t="s">
        <v>468</v>
      </c>
      <c r="C34" s="7" t="s">
        <v>469</v>
      </c>
      <c r="D34" s="12"/>
    </row>
    <row r="35" spans="1:4" s="7" customFormat="1" x14ac:dyDescent="0.3">
      <c r="A35" s="97">
        <v>41016</v>
      </c>
      <c r="B35" s="7" t="s">
        <v>470</v>
      </c>
      <c r="C35" s="7" t="s">
        <v>471</v>
      </c>
      <c r="D35" s="12"/>
    </row>
    <row r="36" spans="1:4" s="7" customFormat="1" x14ac:dyDescent="0.3">
      <c r="A36" s="97">
        <v>41016</v>
      </c>
      <c r="B36" s="7" t="s">
        <v>472</v>
      </c>
      <c r="C36" s="7" t="s">
        <v>473</v>
      </c>
      <c r="D36" s="12"/>
    </row>
    <row r="37" spans="1:4" s="7" customFormat="1" x14ac:dyDescent="0.3">
      <c r="A37" s="97">
        <v>41016</v>
      </c>
      <c r="B37" s="7" t="s">
        <v>474</v>
      </c>
      <c r="C37" s="7" t="s">
        <v>475</v>
      </c>
      <c r="D37" s="12"/>
    </row>
    <row r="38" spans="1:4" s="7" customFormat="1" x14ac:dyDescent="0.3">
      <c r="A38" s="97">
        <v>41016</v>
      </c>
      <c r="B38" s="7" t="s">
        <v>476</v>
      </c>
      <c r="C38" s="7" t="s">
        <v>477</v>
      </c>
      <c r="D38" s="12"/>
    </row>
    <row r="39" spans="1:4" s="7" customFormat="1" x14ac:dyDescent="0.3">
      <c r="A39" s="97">
        <v>41016</v>
      </c>
      <c r="B39" s="7" t="s">
        <v>478</v>
      </c>
      <c r="C39" s="7" t="s">
        <v>479</v>
      </c>
      <c r="D39" s="12"/>
    </row>
    <row r="40" spans="1:4" s="7" customFormat="1" x14ac:dyDescent="0.3">
      <c r="A40" s="97">
        <v>41016</v>
      </c>
      <c r="B40" s="7" t="s">
        <v>480</v>
      </c>
      <c r="C40" s="7" t="s">
        <v>481</v>
      </c>
      <c r="D40" s="12"/>
    </row>
    <row r="41" spans="1:4" s="7" customFormat="1" x14ac:dyDescent="0.3">
      <c r="A41" s="97">
        <v>41016</v>
      </c>
      <c r="B41" s="7" t="s">
        <v>482</v>
      </c>
      <c r="C41" s="7" t="s">
        <v>483</v>
      </c>
      <c r="D41" s="12"/>
    </row>
    <row r="42" spans="1:4" s="7" customFormat="1" x14ac:dyDescent="0.3">
      <c r="A42" s="97">
        <v>41016</v>
      </c>
      <c r="B42" s="7" t="s">
        <v>484</v>
      </c>
      <c r="C42" s="7" t="s">
        <v>485</v>
      </c>
      <c r="D42" s="12"/>
    </row>
    <row r="43" spans="1:4" s="7" customFormat="1" x14ac:dyDescent="0.3">
      <c r="A43" s="97">
        <v>41016</v>
      </c>
      <c r="B43" s="7" t="s">
        <v>486</v>
      </c>
      <c r="C43" s="7" t="s">
        <v>487</v>
      </c>
      <c r="D43" s="12"/>
    </row>
    <row r="44" spans="1:4" s="7" customFormat="1" x14ac:dyDescent="0.3">
      <c r="A44" s="97">
        <v>41016</v>
      </c>
      <c r="B44" s="7" t="s">
        <v>488</v>
      </c>
      <c r="C44" s="7" t="s">
        <v>489</v>
      </c>
      <c r="D44" s="12"/>
    </row>
    <row r="45" spans="1:4" s="7" customFormat="1" x14ac:dyDescent="0.3">
      <c r="A45" s="97">
        <v>41016</v>
      </c>
      <c r="B45" s="7" t="s">
        <v>490</v>
      </c>
      <c r="C45" s="7" t="s">
        <v>491</v>
      </c>
      <c r="D45" s="12"/>
    </row>
    <row r="46" spans="1:4" s="7" customFormat="1" x14ac:dyDescent="0.3">
      <c r="A46" s="97">
        <v>41016</v>
      </c>
      <c r="B46" s="7" t="s">
        <v>492</v>
      </c>
      <c r="C46" s="7" t="s">
        <v>493</v>
      </c>
      <c r="D46" s="12"/>
    </row>
    <row r="47" spans="1:4" s="7" customFormat="1" x14ac:dyDescent="0.3">
      <c r="A47" s="97">
        <v>41016</v>
      </c>
      <c r="B47" s="7" t="s">
        <v>494</v>
      </c>
      <c r="C47" s="7" t="s">
        <v>495</v>
      </c>
      <c r="D47" s="12"/>
    </row>
    <row r="48" spans="1:4" s="7" customFormat="1" x14ac:dyDescent="0.3">
      <c r="A48" s="97">
        <v>41016</v>
      </c>
      <c r="B48" s="7" t="s">
        <v>496</v>
      </c>
      <c r="C48" s="7" t="s">
        <v>497</v>
      </c>
      <c r="D48" s="12"/>
    </row>
    <row r="49" spans="1:4" s="7" customFormat="1" x14ac:dyDescent="0.3">
      <c r="A49" s="97">
        <v>41016</v>
      </c>
      <c r="B49" s="7" t="s">
        <v>498</v>
      </c>
      <c r="C49" s="7" t="s">
        <v>499</v>
      </c>
      <c r="D49" s="12"/>
    </row>
    <row r="50" spans="1:4" s="7" customFormat="1" x14ac:dyDescent="0.3">
      <c r="A50" s="97">
        <v>41016</v>
      </c>
      <c r="B50" s="7" t="s">
        <v>500</v>
      </c>
      <c r="C50" s="7" t="s">
        <v>501</v>
      </c>
      <c r="D50" s="12"/>
    </row>
    <row r="51" spans="1:4" s="7" customFormat="1" x14ac:dyDescent="0.3">
      <c r="A51" s="115"/>
      <c r="D51" s="13"/>
    </row>
    <row r="52" spans="1:4" x14ac:dyDescent="0.3">
      <c r="A52" s="99" t="s">
        <v>3836</v>
      </c>
      <c r="B52" s="6" t="s">
        <v>113</v>
      </c>
      <c r="C52" s="6" t="s">
        <v>28</v>
      </c>
      <c r="D52" s="6" t="s">
        <v>114</v>
      </c>
    </row>
    <row r="54" spans="1:4" x14ac:dyDescent="0.3">
      <c r="A54" s="99" t="s">
        <v>3836</v>
      </c>
      <c r="B54" s="6" t="s">
        <v>502</v>
      </c>
      <c r="C54" s="6" t="s">
        <v>115</v>
      </c>
      <c r="D54" s="6" t="s">
        <v>116</v>
      </c>
    </row>
    <row r="55" spans="1:4" x14ac:dyDescent="0.3">
      <c r="A55" s="97">
        <v>41016</v>
      </c>
      <c r="B55" t="s">
        <v>503</v>
      </c>
      <c r="C55" t="s">
        <v>504</v>
      </c>
      <c r="D55" s="7" t="s">
        <v>505</v>
      </c>
    </row>
    <row r="56" spans="1:4" x14ac:dyDescent="0.3">
      <c r="A56" s="97">
        <v>41016</v>
      </c>
      <c r="B56" t="s">
        <v>506</v>
      </c>
      <c r="C56" t="s">
        <v>507</v>
      </c>
      <c r="D56" s="7" t="s">
        <v>508</v>
      </c>
    </row>
    <row r="57" spans="1:4" x14ac:dyDescent="0.3">
      <c r="A57" s="97">
        <v>41016</v>
      </c>
      <c r="B57" t="s">
        <v>509</v>
      </c>
      <c r="C57" t="s">
        <v>510</v>
      </c>
      <c r="D57" s="7" t="s">
        <v>511</v>
      </c>
    </row>
    <row r="58" spans="1:4" x14ac:dyDescent="0.3">
      <c r="A58" s="97">
        <v>41016</v>
      </c>
      <c r="B58" t="s">
        <v>129</v>
      </c>
      <c r="C58" t="s">
        <v>512</v>
      </c>
      <c r="D58" s="7" t="s">
        <v>130</v>
      </c>
    </row>
    <row r="59" spans="1:4" x14ac:dyDescent="0.3">
      <c r="A59" s="97">
        <v>41016</v>
      </c>
      <c r="B59" t="s">
        <v>513</v>
      </c>
      <c r="C59" t="s">
        <v>514</v>
      </c>
      <c r="D59" s="7" t="s">
        <v>515</v>
      </c>
    </row>
    <row r="60" spans="1:4" x14ac:dyDescent="0.3">
      <c r="A60" s="97">
        <v>41016</v>
      </c>
      <c r="B60" t="s">
        <v>516</v>
      </c>
      <c r="C60" t="s">
        <v>517</v>
      </c>
      <c r="D60" s="7" t="s">
        <v>518</v>
      </c>
    </row>
    <row r="61" spans="1:4" x14ac:dyDescent="0.3">
      <c r="A61" s="97">
        <v>41016</v>
      </c>
      <c r="B61" t="s">
        <v>162</v>
      </c>
      <c r="C61" t="s">
        <v>519</v>
      </c>
      <c r="D61" s="7" t="s">
        <v>163</v>
      </c>
    </row>
    <row r="62" spans="1:4" x14ac:dyDescent="0.3">
      <c r="A62" s="97">
        <v>41016</v>
      </c>
      <c r="B62" t="s">
        <v>165</v>
      </c>
      <c r="C62" t="s">
        <v>520</v>
      </c>
      <c r="D62" s="7" t="s">
        <v>166</v>
      </c>
    </row>
    <row r="63" spans="1:4" x14ac:dyDescent="0.3">
      <c r="A63" s="97">
        <v>41016</v>
      </c>
      <c r="B63" t="s">
        <v>521</v>
      </c>
      <c r="C63" t="s">
        <v>522</v>
      </c>
      <c r="D63" t="s">
        <v>523</v>
      </c>
    </row>
    <row r="64" spans="1:4" x14ac:dyDescent="0.3">
      <c r="A64" s="97">
        <v>41016</v>
      </c>
      <c r="B64" t="s">
        <v>524</v>
      </c>
      <c r="C64" t="s">
        <v>525</v>
      </c>
      <c r="D64" t="s">
        <v>526</v>
      </c>
    </row>
    <row r="65" spans="1:4" x14ac:dyDescent="0.3">
      <c r="A65" s="97">
        <v>41016</v>
      </c>
      <c r="B65" t="s">
        <v>527</v>
      </c>
      <c r="C65" t="s">
        <v>528</v>
      </c>
      <c r="D65" t="s">
        <v>529</v>
      </c>
    </row>
    <row r="66" spans="1:4" x14ac:dyDescent="0.3">
      <c r="A66" s="97">
        <v>41016</v>
      </c>
      <c r="B66" t="s">
        <v>530</v>
      </c>
      <c r="C66" t="s">
        <v>531</v>
      </c>
      <c r="D66" t="s">
        <v>532</v>
      </c>
    </row>
    <row r="67" spans="1:4" x14ac:dyDescent="0.3">
      <c r="A67" s="97">
        <v>41016</v>
      </c>
      <c r="B67" t="s">
        <v>533</v>
      </c>
      <c r="C67" t="s">
        <v>534</v>
      </c>
      <c r="D67" t="s">
        <v>535</v>
      </c>
    </row>
    <row r="68" spans="1:4" x14ac:dyDescent="0.3">
      <c r="A68" s="97">
        <v>41016</v>
      </c>
      <c r="B68" t="s">
        <v>536</v>
      </c>
      <c r="C68" t="s">
        <v>537</v>
      </c>
      <c r="D68" s="7" t="s">
        <v>538</v>
      </c>
    </row>
    <row r="69" spans="1:4" x14ac:dyDescent="0.3">
      <c r="A69" s="97">
        <v>41016</v>
      </c>
      <c r="B69" t="s">
        <v>539</v>
      </c>
      <c r="C69" t="s">
        <v>540</v>
      </c>
      <c r="D69" s="7" t="s">
        <v>541</v>
      </c>
    </row>
    <row r="70" spans="1:4" x14ac:dyDescent="0.3">
      <c r="A70" s="97">
        <v>41016</v>
      </c>
      <c r="B70" t="s">
        <v>542</v>
      </c>
      <c r="C70" t="s">
        <v>543</v>
      </c>
      <c r="D70" s="7" t="s">
        <v>544</v>
      </c>
    </row>
    <row r="71" spans="1:4" x14ac:dyDescent="0.3">
      <c r="A71" s="97">
        <v>41016</v>
      </c>
      <c r="B71" t="s">
        <v>545</v>
      </c>
      <c r="C71" t="s">
        <v>546</v>
      </c>
      <c r="D71" s="7" t="s">
        <v>547</v>
      </c>
    </row>
    <row r="72" spans="1:4" x14ac:dyDescent="0.3">
      <c r="A72" s="97">
        <v>41016</v>
      </c>
      <c r="B72" t="s">
        <v>548</v>
      </c>
      <c r="C72" t="s">
        <v>549</v>
      </c>
      <c r="D72" s="7" t="s">
        <v>550</v>
      </c>
    </row>
    <row r="73" spans="1:4" x14ac:dyDescent="0.3">
      <c r="A73" s="97">
        <v>41016</v>
      </c>
      <c r="B73" t="s">
        <v>551</v>
      </c>
      <c r="C73" t="s">
        <v>552</v>
      </c>
      <c r="D73" s="7" t="s">
        <v>553</v>
      </c>
    </row>
    <row r="74" spans="1:4" x14ac:dyDescent="0.3">
      <c r="A74" s="97">
        <v>41016</v>
      </c>
      <c r="B74" t="s">
        <v>292</v>
      </c>
      <c r="C74" t="s">
        <v>554</v>
      </c>
      <c r="D74" s="7" t="s">
        <v>555</v>
      </c>
    </row>
    <row r="75" spans="1:4" x14ac:dyDescent="0.3">
      <c r="A75" s="97">
        <v>41016</v>
      </c>
      <c r="B75" t="s">
        <v>321</v>
      </c>
      <c r="C75" t="s">
        <v>556</v>
      </c>
      <c r="D75" s="7" t="s">
        <v>557</v>
      </c>
    </row>
    <row r="76" spans="1:4" x14ac:dyDescent="0.3">
      <c r="A76" s="97">
        <v>41016</v>
      </c>
      <c r="B76" t="s">
        <v>558</v>
      </c>
      <c r="C76" t="s">
        <v>559</v>
      </c>
      <c r="D76" s="7" t="s">
        <v>560</v>
      </c>
    </row>
    <row r="77" spans="1:4" x14ac:dyDescent="0.3">
      <c r="A77" s="97">
        <v>41016</v>
      </c>
      <c r="B77" t="s">
        <v>561</v>
      </c>
      <c r="C77" t="s">
        <v>562</v>
      </c>
      <c r="D77" s="7" t="s">
        <v>563</v>
      </c>
    </row>
    <row r="78" spans="1:4" x14ac:dyDescent="0.3">
      <c r="A78" s="97">
        <v>41016</v>
      </c>
      <c r="B78" t="s">
        <v>564</v>
      </c>
      <c r="C78" t="s">
        <v>565</v>
      </c>
      <c r="D78" s="7" t="s">
        <v>566</v>
      </c>
    </row>
    <row r="79" spans="1:4" x14ac:dyDescent="0.3">
      <c r="A79" s="97">
        <v>41016</v>
      </c>
      <c r="B79" t="s">
        <v>567</v>
      </c>
      <c r="C79" t="s">
        <v>568</v>
      </c>
      <c r="D79" s="7" t="s">
        <v>569</v>
      </c>
    </row>
    <row r="80" spans="1:4" x14ac:dyDescent="0.3">
      <c r="A80" s="97">
        <v>41016</v>
      </c>
      <c r="B80" t="s">
        <v>570</v>
      </c>
      <c r="C80" t="s">
        <v>571</v>
      </c>
      <c r="D80" s="7" t="s">
        <v>572</v>
      </c>
    </row>
    <row r="81" spans="1:4" x14ac:dyDescent="0.3">
      <c r="A81" s="97">
        <v>41016</v>
      </c>
      <c r="B81" t="s">
        <v>573</v>
      </c>
      <c r="C81" t="s">
        <v>574</v>
      </c>
      <c r="D81" s="7" t="s">
        <v>575</v>
      </c>
    </row>
    <row r="82" spans="1:4" x14ac:dyDescent="0.3">
      <c r="A82" s="97">
        <v>41016</v>
      </c>
      <c r="B82" t="s">
        <v>576</v>
      </c>
      <c r="C82" t="s">
        <v>577</v>
      </c>
      <c r="D82" s="7" t="s">
        <v>578</v>
      </c>
    </row>
    <row r="83" spans="1:4" x14ac:dyDescent="0.3">
      <c r="A83" s="97">
        <v>41016</v>
      </c>
      <c r="B83" t="s">
        <v>579</v>
      </c>
      <c r="C83" t="s">
        <v>580</v>
      </c>
      <c r="D83" s="7" t="s">
        <v>581</v>
      </c>
    </row>
    <row r="84" spans="1:4" x14ac:dyDescent="0.3">
      <c r="A84" s="97">
        <v>41016</v>
      </c>
      <c r="B84" t="s">
        <v>582</v>
      </c>
      <c r="C84" t="s">
        <v>583</v>
      </c>
      <c r="D84" s="7" t="s">
        <v>584</v>
      </c>
    </row>
    <row r="85" spans="1:4" x14ac:dyDescent="0.3">
      <c r="B85"/>
      <c r="C85"/>
      <c r="D85" s="7"/>
    </row>
    <row r="86" spans="1:4" x14ac:dyDescent="0.3">
      <c r="A86" s="99" t="s">
        <v>3836</v>
      </c>
      <c r="B86" s="5" t="s">
        <v>585</v>
      </c>
      <c r="C86" s="5" t="s">
        <v>198</v>
      </c>
      <c r="D86" s="5" t="s">
        <v>199</v>
      </c>
    </row>
    <row r="87" spans="1:4" x14ac:dyDescent="0.3">
      <c r="A87" s="97">
        <v>41016</v>
      </c>
      <c r="B87" t="s">
        <v>503</v>
      </c>
      <c r="C87" s="7" t="s">
        <v>586</v>
      </c>
      <c r="D87" t="s">
        <v>587</v>
      </c>
    </row>
    <row r="88" spans="1:4" x14ac:dyDescent="0.3">
      <c r="A88" s="97">
        <v>41016</v>
      </c>
      <c r="B88" s="11" t="s">
        <v>588</v>
      </c>
      <c r="C88" s="7" t="s">
        <v>589</v>
      </c>
      <c r="D88" t="s">
        <v>590</v>
      </c>
    </row>
    <row r="89" spans="1:4" x14ac:dyDescent="0.3">
      <c r="A89" s="97">
        <v>41016</v>
      </c>
      <c r="B89" t="s">
        <v>129</v>
      </c>
      <c r="C89" t="s">
        <v>591</v>
      </c>
      <c r="D89" t="s">
        <v>592</v>
      </c>
    </row>
    <row r="90" spans="1:4" x14ac:dyDescent="0.3">
      <c r="A90" s="97">
        <v>41016</v>
      </c>
      <c r="B90" t="s">
        <v>513</v>
      </c>
      <c r="C90" t="s">
        <v>593</v>
      </c>
      <c r="D90" t="s">
        <v>592</v>
      </c>
    </row>
    <row r="91" spans="1:4" x14ac:dyDescent="0.3">
      <c r="A91" s="97">
        <v>41016</v>
      </c>
      <c r="B91" t="s">
        <v>516</v>
      </c>
      <c r="C91" t="s">
        <v>594</v>
      </c>
      <c r="D91" t="s">
        <v>595</v>
      </c>
    </row>
    <row r="92" spans="1:4" x14ac:dyDescent="0.3">
      <c r="A92" s="97">
        <v>41016</v>
      </c>
      <c r="B92" t="s">
        <v>162</v>
      </c>
      <c r="C92" t="s">
        <v>596</v>
      </c>
      <c r="D92" t="s">
        <v>592</v>
      </c>
    </row>
    <row r="93" spans="1:4" x14ac:dyDescent="0.3">
      <c r="A93" s="97">
        <v>41016</v>
      </c>
      <c r="B93" t="s">
        <v>165</v>
      </c>
      <c r="C93" t="s">
        <v>597</v>
      </c>
      <c r="D93" t="s">
        <v>592</v>
      </c>
    </row>
    <row r="94" spans="1:4" x14ac:dyDescent="0.3">
      <c r="A94" s="97">
        <v>41016</v>
      </c>
      <c r="B94" t="s">
        <v>598</v>
      </c>
      <c r="C94" t="s">
        <v>599</v>
      </c>
      <c r="D94" t="s">
        <v>600</v>
      </c>
    </row>
    <row r="95" spans="1:4" x14ac:dyDescent="0.3">
      <c r="A95" s="97">
        <v>41016</v>
      </c>
      <c r="B95" t="s">
        <v>601</v>
      </c>
      <c r="C95" t="s">
        <v>602</v>
      </c>
      <c r="D95" s="14" t="s">
        <v>603</v>
      </c>
    </row>
    <row r="96" spans="1:4" x14ac:dyDescent="0.3">
      <c r="A96" s="97">
        <v>41016</v>
      </c>
      <c r="B96" t="s">
        <v>604</v>
      </c>
      <c r="C96" t="s">
        <v>605</v>
      </c>
      <c r="D96" t="s">
        <v>606</v>
      </c>
    </row>
    <row r="97" spans="1:4" x14ac:dyDescent="0.3">
      <c r="A97" s="97">
        <v>41016</v>
      </c>
      <c r="B97" t="s">
        <v>186</v>
      </c>
      <c r="C97" t="s">
        <v>607</v>
      </c>
      <c r="D97" t="s">
        <v>608</v>
      </c>
    </row>
    <row r="98" spans="1:4" x14ac:dyDescent="0.3">
      <c r="A98" s="97">
        <v>41016</v>
      </c>
      <c r="B98" s="11" t="s">
        <v>609</v>
      </c>
      <c r="C98" s="7" t="s">
        <v>610</v>
      </c>
      <c r="D98" t="s">
        <v>611</v>
      </c>
    </row>
    <row r="99" spans="1:4" x14ac:dyDescent="0.3">
      <c r="A99" s="97">
        <v>41016</v>
      </c>
      <c r="B99" t="s">
        <v>612</v>
      </c>
      <c r="C99" t="s">
        <v>613</v>
      </c>
      <c r="D99" t="s">
        <v>614</v>
      </c>
    </row>
    <row r="100" spans="1:4" x14ac:dyDescent="0.3">
      <c r="A100" s="97">
        <v>41016</v>
      </c>
      <c r="B100" t="s">
        <v>615</v>
      </c>
      <c r="C100" t="s">
        <v>616</v>
      </c>
      <c r="D100" t="s">
        <v>617</v>
      </c>
    </row>
    <row r="101" spans="1:4" x14ac:dyDescent="0.3">
      <c r="A101" s="97">
        <v>41016</v>
      </c>
      <c r="B101" t="s">
        <v>618</v>
      </c>
      <c r="C101" t="s">
        <v>619</v>
      </c>
      <c r="D101" t="s">
        <v>620</v>
      </c>
    </row>
    <row r="102" spans="1:4" x14ac:dyDescent="0.3">
      <c r="A102" s="97">
        <v>41016</v>
      </c>
      <c r="B102" t="s">
        <v>621</v>
      </c>
      <c r="C102" t="s">
        <v>622</v>
      </c>
      <c r="D102" t="s">
        <v>623</v>
      </c>
    </row>
    <row r="103" spans="1:4" x14ac:dyDescent="0.3">
      <c r="A103" s="97">
        <v>41016</v>
      </c>
      <c r="B103" t="s">
        <v>533</v>
      </c>
      <c r="C103" t="s">
        <v>624</v>
      </c>
      <c r="D103" t="s">
        <v>625</v>
      </c>
    </row>
    <row r="104" spans="1:4" x14ac:dyDescent="0.3">
      <c r="A104" s="97">
        <v>41016</v>
      </c>
      <c r="B104" s="11" t="s">
        <v>626</v>
      </c>
      <c r="C104" s="7" t="s">
        <v>627</v>
      </c>
      <c r="D104" t="s">
        <v>628</v>
      </c>
    </row>
    <row r="105" spans="1:4" x14ac:dyDescent="0.3">
      <c r="A105" s="97">
        <v>41016</v>
      </c>
      <c r="B105" s="11" t="s">
        <v>629</v>
      </c>
      <c r="C105" s="7" t="s">
        <v>630</v>
      </c>
      <c r="D105" t="s">
        <v>631</v>
      </c>
    </row>
    <row r="106" spans="1:4" x14ac:dyDescent="0.3">
      <c r="A106" s="97">
        <v>41016</v>
      </c>
      <c r="B106" s="11" t="s">
        <v>632</v>
      </c>
      <c r="C106" s="7" t="s">
        <v>633</v>
      </c>
      <c r="D106" t="s">
        <v>634</v>
      </c>
    </row>
    <row r="107" spans="1:4" x14ac:dyDescent="0.3">
      <c r="A107" s="97">
        <v>41016</v>
      </c>
      <c r="B107" s="11" t="s">
        <v>635</v>
      </c>
      <c r="C107" s="7" t="s">
        <v>636</v>
      </c>
      <c r="D107" t="s">
        <v>637</v>
      </c>
    </row>
    <row r="108" spans="1:4" x14ac:dyDescent="0.3">
      <c r="A108" s="97">
        <v>41016</v>
      </c>
      <c r="B108" s="11" t="s">
        <v>638</v>
      </c>
      <c r="C108" s="7" t="s">
        <v>639</v>
      </c>
      <c r="D108" t="s">
        <v>640</v>
      </c>
    </row>
    <row r="109" spans="1:4" x14ac:dyDescent="0.3">
      <c r="A109" s="97">
        <v>41016</v>
      </c>
      <c r="B109" s="11" t="s">
        <v>641</v>
      </c>
      <c r="C109" s="7" t="s">
        <v>642</v>
      </c>
      <c r="D109" t="s">
        <v>643</v>
      </c>
    </row>
    <row r="110" spans="1:4" x14ac:dyDescent="0.3">
      <c r="A110" s="97">
        <v>41016</v>
      </c>
      <c r="B110" s="11" t="s">
        <v>644</v>
      </c>
      <c r="C110" s="7" t="s">
        <v>645</v>
      </c>
      <c r="D110" t="s">
        <v>646</v>
      </c>
    </row>
    <row r="111" spans="1:4" x14ac:dyDescent="0.3">
      <c r="A111" s="97">
        <v>41016</v>
      </c>
      <c r="B111" s="11" t="s">
        <v>647</v>
      </c>
      <c r="C111" s="7" t="s">
        <v>648</v>
      </c>
      <c r="D111" t="s">
        <v>649</v>
      </c>
    </row>
    <row r="112" spans="1:4" x14ac:dyDescent="0.3">
      <c r="A112" s="97">
        <v>41016</v>
      </c>
      <c r="B112" s="11" t="s">
        <v>650</v>
      </c>
      <c r="C112" s="7" t="s">
        <v>651</v>
      </c>
      <c r="D112" t="s">
        <v>652</v>
      </c>
    </row>
    <row r="113" spans="1:4" x14ac:dyDescent="0.3">
      <c r="A113" s="97">
        <v>41016</v>
      </c>
      <c r="B113" t="s">
        <v>545</v>
      </c>
      <c r="C113" t="s">
        <v>653</v>
      </c>
      <c r="D113" s="7" t="s">
        <v>654</v>
      </c>
    </row>
    <row r="114" spans="1:4" x14ac:dyDescent="0.3">
      <c r="A114" s="97">
        <v>41016</v>
      </c>
      <c r="B114" t="s">
        <v>548</v>
      </c>
      <c r="C114" t="s">
        <v>653</v>
      </c>
      <c r="D114" s="7" t="s">
        <v>654</v>
      </c>
    </row>
    <row r="115" spans="1:4" x14ac:dyDescent="0.3">
      <c r="A115" s="97">
        <v>41016</v>
      </c>
      <c r="B115" t="s">
        <v>551</v>
      </c>
      <c r="C115" t="s">
        <v>653</v>
      </c>
      <c r="D115" s="7" t="s">
        <v>654</v>
      </c>
    </row>
    <row r="116" spans="1:4" x14ac:dyDescent="0.3">
      <c r="A116" s="97">
        <v>41016</v>
      </c>
      <c r="B116" t="s">
        <v>655</v>
      </c>
      <c r="C116" t="s">
        <v>656</v>
      </c>
      <c r="D116" s="7" t="s">
        <v>657</v>
      </c>
    </row>
    <row r="117" spans="1:4" x14ac:dyDescent="0.3">
      <c r="A117" s="97">
        <v>41016</v>
      </c>
      <c r="B117" t="s">
        <v>658</v>
      </c>
      <c r="C117" t="s">
        <v>659</v>
      </c>
      <c r="D117" s="7" t="s">
        <v>660</v>
      </c>
    </row>
    <row r="118" spans="1:4" x14ac:dyDescent="0.3">
      <c r="A118" s="97">
        <v>41016</v>
      </c>
      <c r="B118" t="s">
        <v>661</v>
      </c>
      <c r="C118" t="s">
        <v>662</v>
      </c>
      <c r="D118" s="7" t="s">
        <v>663</v>
      </c>
    </row>
    <row r="119" spans="1:4" x14ac:dyDescent="0.3">
      <c r="A119" s="97">
        <v>41016</v>
      </c>
      <c r="B119" s="11" t="s">
        <v>664</v>
      </c>
      <c r="C119" s="7" t="s">
        <v>665</v>
      </c>
      <c r="D119" t="s">
        <v>666</v>
      </c>
    </row>
    <row r="120" spans="1:4" x14ac:dyDescent="0.3">
      <c r="A120" s="97">
        <v>41016</v>
      </c>
      <c r="B120" s="11" t="s">
        <v>667</v>
      </c>
      <c r="C120" s="7" t="s">
        <v>665</v>
      </c>
      <c r="D120" t="s">
        <v>666</v>
      </c>
    </row>
    <row r="121" spans="1:4" x14ac:dyDescent="0.3">
      <c r="A121" s="97">
        <v>41016</v>
      </c>
      <c r="B121" s="11" t="s">
        <v>668</v>
      </c>
      <c r="C121" s="7" t="s">
        <v>665</v>
      </c>
      <c r="D121" t="s">
        <v>666</v>
      </c>
    </row>
    <row r="122" spans="1:4" x14ac:dyDescent="0.3">
      <c r="A122" s="97">
        <v>41016</v>
      </c>
      <c r="B122" t="s">
        <v>558</v>
      </c>
      <c r="C122" t="s">
        <v>669</v>
      </c>
      <c r="D122" s="7" t="s">
        <v>670</v>
      </c>
    </row>
    <row r="123" spans="1:4" x14ac:dyDescent="0.3">
      <c r="A123" s="97">
        <v>41016</v>
      </c>
      <c r="B123" t="s">
        <v>561</v>
      </c>
      <c r="C123" t="s">
        <v>669</v>
      </c>
      <c r="D123" s="7" t="s">
        <v>670</v>
      </c>
    </row>
    <row r="124" spans="1:4" x14ac:dyDescent="0.3">
      <c r="A124" s="97">
        <v>41016</v>
      </c>
      <c r="B124" t="s">
        <v>564</v>
      </c>
      <c r="C124" t="s">
        <v>671</v>
      </c>
      <c r="D124" s="7" t="s">
        <v>672</v>
      </c>
    </row>
    <row r="125" spans="1:4" x14ac:dyDescent="0.3">
      <c r="A125" s="97">
        <v>41016</v>
      </c>
      <c r="B125" t="s">
        <v>567</v>
      </c>
      <c r="C125" t="s">
        <v>671</v>
      </c>
      <c r="D125" s="7" t="s">
        <v>672</v>
      </c>
    </row>
    <row r="126" spans="1:4" x14ac:dyDescent="0.3">
      <c r="A126" s="97">
        <v>41016</v>
      </c>
      <c r="B126" t="s">
        <v>570</v>
      </c>
      <c r="C126" t="s">
        <v>673</v>
      </c>
      <c r="D126" s="7" t="s">
        <v>674</v>
      </c>
    </row>
    <row r="127" spans="1:4" x14ac:dyDescent="0.3">
      <c r="A127" s="97">
        <v>41016</v>
      </c>
      <c r="B127" t="s">
        <v>573</v>
      </c>
      <c r="C127" t="s">
        <v>673</v>
      </c>
      <c r="D127" s="7" t="s">
        <v>674</v>
      </c>
    </row>
    <row r="128" spans="1:4" x14ac:dyDescent="0.3">
      <c r="A128" s="97">
        <v>41016</v>
      </c>
      <c r="B128" t="s">
        <v>576</v>
      </c>
      <c r="C128" t="s">
        <v>673</v>
      </c>
      <c r="D128" s="7" t="s">
        <v>674</v>
      </c>
    </row>
    <row r="129" spans="1:4" x14ac:dyDescent="0.3">
      <c r="A129" s="97">
        <v>41016</v>
      </c>
      <c r="B129" t="s">
        <v>579</v>
      </c>
      <c r="C129" t="s">
        <v>669</v>
      </c>
      <c r="D129" s="7" t="s">
        <v>670</v>
      </c>
    </row>
    <row r="130" spans="1:4" x14ac:dyDescent="0.3">
      <c r="A130" s="97">
        <v>41016</v>
      </c>
      <c r="B130" t="s">
        <v>582</v>
      </c>
      <c r="C130" t="s">
        <v>671</v>
      </c>
      <c r="D130" s="7" t="s">
        <v>672</v>
      </c>
    </row>
    <row r="131" spans="1:4" x14ac:dyDescent="0.3">
      <c r="A131" s="97">
        <v>41016</v>
      </c>
      <c r="B131" s="11" t="s">
        <v>304</v>
      </c>
      <c r="C131" s="7" t="s">
        <v>675</v>
      </c>
      <c r="D131" t="s">
        <v>305</v>
      </c>
    </row>
    <row r="132" spans="1:4" x14ac:dyDescent="0.3">
      <c r="A132" s="97">
        <v>41016</v>
      </c>
      <c r="B132" s="11" t="s">
        <v>676</v>
      </c>
      <c r="C132" s="7" t="s">
        <v>677</v>
      </c>
      <c r="D132" t="s">
        <v>678</v>
      </c>
    </row>
    <row r="133" spans="1:4" x14ac:dyDescent="0.3">
      <c r="A133" s="97">
        <v>41016</v>
      </c>
      <c r="B133" s="11" t="s">
        <v>679</v>
      </c>
      <c r="C133" s="7" t="s">
        <v>680</v>
      </c>
      <c r="D133" t="s">
        <v>681</v>
      </c>
    </row>
    <row r="134" spans="1:4" x14ac:dyDescent="0.3">
      <c r="A134" s="97">
        <v>41016</v>
      </c>
      <c r="B134" s="11" t="s">
        <v>682</v>
      </c>
      <c r="C134" s="7" t="s">
        <v>683</v>
      </c>
      <c r="D134" t="s">
        <v>684</v>
      </c>
    </row>
    <row r="135" spans="1:4" x14ac:dyDescent="0.3">
      <c r="A135" s="97">
        <v>41016</v>
      </c>
      <c r="B135" s="11" t="s">
        <v>685</v>
      </c>
      <c r="C135" s="7" t="s">
        <v>686</v>
      </c>
      <c r="D135" t="s">
        <v>687</v>
      </c>
    </row>
    <row r="136" spans="1:4" x14ac:dyDescent="0.3">
      <c r="A136" s="97">
        <v>41016</v>
      </c>
      <c r="B136" s="11" t="s">
        <v>688</v>
      </c>
      <c r="C136" s="7" t="s">
        <v>689</v>
      </c>
      <c r="D136" t="s">
        <v>690</v>
      </c>
    </row>
    <row r="137" spans="1:4" x14ac:dyDescent="0.3">
      <c r="A137" s="97">
        <v>41016</v>
      </c>
      <c r="B137" s="11" t="s">
        <v>691</v>
      </c>
      <c r="C137" s="7" t="s">
        <v>692</v>
      </c>
      <c r="D137" t="s">
        <v>693</v>
      </c>
    </row>
    <row r="138" spans="1:4" x14ac:dyDescent="0.3">
      <c r="A138" s="97">
        <v>41016</v>
      </c>
      <c r="B138" s="11" t="s">
        <v>694</v>
      </c>
      <c r="C138" s="7" t="s">
        <v>695</v>
      </c>
      <c r="D138" t="s">
        <v>696</v>
      </c>
    </row>
    <row r="139" spans="1:4" x14ac:dyDescent="0.3">
      <c r="A139" s="97">
        <v>41016</v>
      </c>
      <c r="B139" s="11" t="s">
        <v>697</v>
      </c>
      <c r="C139" s="7" t="s">
        <v>698</v>
      </c>
      <c r="D139" t="s">
        <v>699</v>
      </c>
    </row>
    <row r="140" spans="1:4" x14ac:dyDescent="0.3">
      <c r="A140" s="97">
        <v>41016</v>
      </c>
      <c r="B140" s="11" t="s">
        <v>700</v>
      </c>
      <c r="C140" s="7" t="s">
        <v>701</v>
      </c>
      <c r="D140" t="s">
        <v>702</v>
      </c>
    </row>
    <row r="141" spans="1:4" x14ac:dyDescent="0.3">
      <c r="A141" s="97">
        <v>41016</v>
      </c>
      <c r="B141" s="11" t="s">
        <v>703</v>
      </c>
      <c r="C141" s="7" t="s">
        <v>704</v>
      </c>
      <c r="D141" t="s">
        <v>705</v>
      </c>
    </row>
    <row r="142" spans="1:4" x14ac:dyDescent="0.3">
      <c r="A142" s="97">
        <v>41016</v>
      </c>
      <c r="B142" s="11" t="s">
        <v>706</v>
      </c>
      <c r="C142" s="7" t="s">
        <v>707</v>
      </c>
      <c r="D142" t="s">
        <v>708</v>
      </c>
    </row>
    <row r="143" spans="1:4" x14ac:dyDescent="0.3">
      <c r="A143" s="97">
        <v>41016</v>
      </c>
      <c r="B143" s="11" t="s">
        <v>709</v>
      </c>
      <c r="C143" s="7" t="s">
        <v>710</v>
      </c>
      <c r="D143" t="s">
        <v>711</v>
      </c>
    </row>
    <row r="144" spans="1:4" x14ac:dyDescent="0.3">
      <c r="A144" s="97">
        <v>41016</v>
      </c>
      <c r="B144" s="11" t="s">
        <v>712</v>
      </c>
      <c r="C144" s="7" t="s">
        <v>713</v>
      </c>
      <c r="D144" t="s">
        <v>714</v>
      </c>
    </row>
    <row r="145" spans="1:4" x14ac:dyDescent="0.3">
      <c r="A145" s="97">
        <v>41016</v>
      </c>
      <c r="B145" s="11" t="s">
        <v>715</v>
      </c>
      <c r="C145" s="7" t="s">
        <v>716</v>
      </c>
      <c r="D145" t="s">
        <v>717</v>
      </c>
    </row>
    <row r="146" spans="1:4" x14ac:dyDescent="0.3">
      <c r="A146" s="97">
        <v>41016</v>
      </c>
      <c r="B146" s="11" t="s">
        <v>718</v>
      </c>
      <c r="C146" s="7" t="s">
        <v>719</v>
      </c>
      <c r="D146" t="s">
        <v>720</v>
      </c>
    </row>
    <row r="147" spans="1:4" x14ac:dyDescent="0.3">
      <c r="A147" s="97">
        <v>41016</v>
      </c>
      <c r="B147" s="11" t="s">
        <v>721</v>
      </c>
      <c r="C147" s="7" t="s">
        <v>722</v>
      </c>
      <c r="D147" t="s">
        <v>723</v>
      </c>
    </row>
    <row r="148" spans="1:4" x14ac:dyDescent="0.3">
      <c r="A148" s="97">
        <v>41016</v>
      </c>
      <c r="B148" s="11" t="s">
        <v>724</v>
      </c>
      <c r="C148" s="7" t="s">
        <v>725</v>
      </c>
      <c r="D148" t="s">
        <v>726</v>
      </c>
    </row>
    <row r="149" spans="1:4" x14ac:dyDescent="0.3">
      <c r="A149" s="97">
        <v>41016</v>
      </c>
      <c r="B149" s="11" t="s">
        <v>727</v>
      </c>
      <c r="C149" s="7" t="s">
        <v>728</v>
      </c>
      <c r="D149" t="s">
        <v>729</v>
      </c>
    </row>
    <row r="150" spans="1:4" x14ac:dyDescent="0.3">
      <c r="A150" s="97">
        <v>41016</v>
      </c>
      <c r="B150" s="11" t="s">
        <v>730</v>
      </c>
      <c r="C150" s="7" t="s">
        <v>731</v>
      </c>
      <c r="D150" t="s">
        <v>732</v>
      </c>
    </row>
    <row r="151" spans="1:4" x14ac:dyDescent="0.3">
      <c r="A151" s="97">
        <v>41016</v>
      </c>
      <c r="B151" s="11" t="s">
        <v>733</v>
      </c>
      <c r="C151" s="7" t="s">
        <v>734</v>
      </c>
      <c r="D151" t="s">
        <v>735</v>
      </c>
    </row>
    <row r="152" spans="1:4" x14ac:dyDescent="0.3">
      <c r="A152" s="97">
        <v>41016</v>
      </c>
      <c r="B152" s="11" t="s">
        <v>736</v>
      </c>
      <c r="C152" s="7" t="s">
        <v>737</v>
      </c>
      <c r="D152" t="s">
        <v>738</v>
      </c>
    </row>
    <row r="153" spans="1:4" x14ac:dyDescent="0.3">
      <c r="B153"/>
      <c r="C153"/>
    </row>
    <row r="154" spans="1:4" x14ac:dyDescent="0.3">
      <c r="A154" s="99" t="s">
        <v>3836</v>
      </c>
      <c r="B154" s="5" t="s">
        <v>739</v>
      </c>
      <c r="C154" s="5" t="s">
        <v>307</v>
      </c>
      <c r="D154" s="5" t="s">
        <v>308</v>
      </c>
    </row>
    <row r="155" spans="1:4" x14ac:dyDescent="0.3">
      <c r="A155" s="97">
        <v>41016</v>
      </c>
      <c r="B155" t="s">
        <v>740</v>
      </c>
      <c r="C155" t="s">
        <v>741</v>
      </c>
      <c r="D155" t="s">
        <v>742</v>
      </c>
    </row>
    <row r="156" spans="1:4" x14ac:dyDescent="0.3">
      <c r="A156" s="97">
        <v>41016</v>
      </c>
      <c r="B156" s="7" t="s">
        <v>458</v>
      </c>
      <c r="C156" t="s">
        <v>743</v>
      </c>
      <c r="D156" t="s">
        <v>744</v>
      </c>
    </row>
    <row r="157" spans="1:4" x14ac:dyDescent="0.3">
      <c r="A157" s="97">
        <v>41016</v>
      </c>
      <c r="B157" s="7" t="s">
        <v>376</v>
      </c>
      <c r="C157" t="s">
        <v>379</v>
      </c>
      <c r="D157" t="s">
        <v>745</v>
      </c>
    </row>
    <row r="158" spans="1:4" x14ac:dyDescent="0.3">
      <c r="A158" s="97">
        <v>41016</v>
      </c>
      <c r="B158" s="7" t="s">
        <v>460</v>
      </c>
      <c r="C158" t="s">
        <v>743</v>
      </c>
      <c r="D158" t="s">
        <v>744</v>
      </c>
    </row>
    <row r="159" spans="1:4" x14ac:dyDescent="0.3">
      <c r="A159" s="97">
        <v>41016</v>
      </c>
      <c r="B159" s="7" t="s">
        <v>381</v>
      </c>
      <c r="C159" t="s">
        <v>379</v>
      </c>
      <c r="D159" t="s">
        <v>745</v>
      </c>
    </row>
    <row r="160" spans="1:4" x14ac:dyDescent="0.3">
      <c r="A160" s="97">
        <v>41016</v>
      </c>
      <c r="B160" s="7" t="s">
        <v>746</v>
      </c>
      <c r="C160" s="7" t="s">
        <v>743</v>
      </c>
      <c r="D160" t="s">
        <v>744</v>
      </c>
    </row>
    <row r="161" spans="1:4" x14ac:dyDescent="0.3">
      <c r="A161" s="97">
        <v>41016</v>
      </c>
      <c r="B161" s="7" t="s">
        <v>462</v>
      </c>
      <c r="C161" s="7" t="s">
        <v>743</v>
      </c>
      <c r="D161" t="s">
        <v>744</v>
      </c>
    </row>
    <row r="162" spans="1:4" x14ac:dyDescent="0.3">
      <c r="A162" s="97">
        <v>41016</v>
      </c>
      <c r="B162" s="7" t="s">
        <v>747</v>
      </c>
      <c r="C162" s="7" t="s">
        <v>741</v>
      </c>
      <c r="D162" t="s">
        <v>742</v>
      </c>
    </row>
    <row r="163" spans="1:4" x14ac:dyDescent="0.3">
      <c r="A163" s="97">
        <v>41016</v>
      </c>
      <c r="B163" s="7" t="s">
        <v>516</v>
      </c>
      <c r="C163" s="7" t="s">
        <v>743</v>
      </c>
      <c r="D163" t="s">
        <v>744</v>
      </c>
    </row>
    <row r="164" spans="1:4" x14ac:dyDescent="0.3">
      <c r="A164" s="97">
        <v>41016</v>
      </c>
      <c r="B164" s="7" t="s">
        <v>748</v>
      </c>
      <c r="C164" s="7" t="s">
        <v>743</v>
      </c>
      <c r="D164" t="s">
        <v>744</v>
      </c>
    </row>
    <row r="165" spans="1:4" x14ac:dyDescent="0.3">
      <c r="A165" s="97">
        <v>41016</v>
      </c>
      <c r="B165" s="7" t="s">
        <v>749</v>
      </c>
      <c r="C165" s="7" t="s">
        <v>743</v>
      </c>
      <c r="D165" t="s">
        <v>744</v>
      </c>
    </row>
    <row r="166" spans="1:4" x14ac:dyDescent="0.3">
      <c r="A166" s="97">
        <v>41016</v>
      </c>
      <c r="B166" s="7" t="s">
        <v>750</v>
      </c>
      <c r="C166" s="7" t="s">
        <v>743</v>
      </c>
      <c r="D166" t="s">
        <v>744</v>
      </c>
    </row>
    <row r="167" spans="1:4" x14ac:dyDescent="0.3">
      <c r="A167" s="97">
        <v>41016</v>
      </c>
      <c r="B167" s="7" t="s">
        <v>464</v>
      </c>
      <c r="C167" s="7" t="s">
        <v>743</v>
      </c>
      <c r="D167" t="s">
        <v>744</v>
      </c>
    </row>
    <row r="168" spans="1:4" x14ac:dyDescent="0.3">
      <c r="A168" s="97">
        <v>41016</v>
      </c>
      <c r="B168" s="7" t="s">
        <v>751</v>
      </c>
      <c r="C168" s="7" t="s">
        <v>752</v>
      </c>
      <c r="D168" t="s">
        <v>753</v>
      </c>
    </row>
    <row r="169" spans="1:4" x14ac:dyDescent="0.3">
      <c r="A169" s="97">
        <v>41016</v>
      </c>
      <c r="B169" s="7" t="s">
        <v>754</v>
      </c>
      <c r="C169" s="7" t="s">
        <v>743</v>
      </c>
      <c r="D169" t="s">
        <v>744</v>
      </c>
    </row>
    <row r="170" spans="1:4" x14ac:dyDescent="0.3">
      <c r="A170" s="97">
        <v>41016</v>
      </c>
      <c r="B170" s="7" t="s">
        <v>755</v>
      </c>
      <c r="C170" s="7" t="s">
        <v>743</v>
      </c>
      <c r="D170" t="s">
        <v>744</v>
      </c>
    </row>
    <row r="171" spans="1:4" x14ac:dyDescent="0.3">
      <c r="A171" s="97">
        <v>41016</v>
      </c>
      <c r="B171" s="7" t="s">
        <v>756</v>
      </c>
      <c r="C171" s="7" t="s">
        <v>743</v>
      </c>
      <c r="D171" t="s">
        <v>744</v>
      </c>
    </row>
    <row r="172" spans="1:4" x14ac:dyDescent="0.3">
      <c r="A172" s="97">
        <v>41016</v>
      </c>
      <c r="B172" s="7" t="s">
        <v>757</v>
      </c>
      <c r="C172" s="7" t="s">
        <v>743</v>
      </c>
      <c r="D172" t="s">
        <v>744</v>
      </c>
    </row>
    <row r="173" spans="1:4" x14ac:dyDescent="0.3">
      <c r="A173" s="97">
        <v>41016</v>
      </c>
      <c r="B173" s="7" t="s">
        <v>758</v>
      </c>
      <c r="C173" s="7" t="s">
        <v>743</v>
      </c>
      <c r="D173" t="s">
        <v>744</v>
      </c>
    </row>
    <row r="174" spans="1:4" x14ac:dyDescent="0.3">
      <c r="A174" s="97">
        <v>41016</v>
      </c>
      <c r="B174" s="7" t="s">
        <v>759</v>
      </c>
      <c r="C174" s="7" t="s">
        <v>743</v>
      </c>
      <c r="D174" t="s">
        <v>744</v>
      </c>
    </row>
    <row r="175" spans="1:4" x14ac:dyDescent="0.3">
      <c r="A175" s="97">
        <v>41016</v>
      </c>
      <c r="B175" s="7" t="s">
        <v>760</v>
      </c>
      <c r="C175" s="7" t="s">
        <v>743</v>
      </c>
      <c r="D175" t="s">
        <v>744</v>
      </c>
    </row>
    <row r="176" spans="1:4" x14ac:dyDescent="0.3">
      <c r="A176" s="97">
        <v>41016</v>
      </c>
      <c r="B176" s="7" t="s">
        <v>761</v>
      </c>
      <c r="C176" s="7" t="s">
        <v>743</v>
      </c>
      <c r="D176" t="s">
        <v>744</v>
      </c>
    </row>
    <row r="177" spans="1:4" x14ac:dyDescent="0.3">
      <c r="A177" s="97">
        <v>41016</v>
      </c>
      <c r="B177" s="7" t="s">
        <v>762</v>
      </c>
      <c r="C177" s="7" t="s">
        <v>743</v>
      </c>
      <c r="D177" t="s">
        <v>744</v>
      </c>
    </row>
    <row r="178" spans="1:4" x14ac:dyDescent="0.3">
      <c r="A178" s="97">
        <v>41016</v>
      </c>
      <c r="B178" s="7" t="s">
        <v>763</v>
      </c>
      <c r="C178" s="7" t="s">
        <v>743</v>
      </c>
      <c r="D178" t="s">
        <v>744</v>
      </c>
    </row>
    <row r="179" spans="1:4" x14ac:dyDescent="0.3">
      <c r="A179" s="97">
        <v>41016</v>
      </c>
      <c r="B179" s="7" t="s">
        <v>764</v>
      </c>
      <c r="C179" s="7" t="s">
        <v>743</v>
      </c>
      <c r="D179" t="s">
        <v>744</v>
      </c>
    </row>
    <row r="180" spans="1:4" x14ac:dyDescent="0.3">
      <c r="A180" s="97">
        <v>41016</v>
      </c>
      <c r="B180" s="7" t="s">
        <v>765</v>
      </c>
      <c r="C180" s="7" t="s">
        <v>743</v>
      </c>
      <c r="D180" t="s">
        <v>744</v>
      </c>
    </row>
    <row r="181" spans="1:4" x14ac:dyDescent="0.3">
      <c r="A181" s="97">
        <v>41016</v>
      </c>
      <c r="B181" s="7" t="s">
        <v>766</v>
      </c>
      <c r="C181" s="7" t="s">
        <v>743</v>
      </c>
      <c r="D181" t="s">
        <v>744</v>
      </c>
    </row>
    <row r="182" spans="1:4" x14ac:dyDescent="0.3">
      <c r="A182" s="97">
        <v>41016</v>
      </c>
      <c r="B182" s="7" t="s">
        <v>767</v>
      </c>
      <c r="C182" s="7" t="s">
        <v>743</v>
      </c>
      <c r="D182" t="s">
        <v>744</v>
      </c>
    </row>
    <row r="183" spans="1:4" x14ac:dyDescent="0.3">
      <c r="A183" s="97">
        <v>41016</v>
      </c>
      <c r="B183" s="7" t="s">
        <v>768</v>
      </c>
      <c r="C183" s="7" t="s">
        <v>743</v>
      </c>
      <c r="D183" t="s">
        <v>744</v>
      </c>
    </row>
    <row r="184" spans="1:4" x14ac:dyDescent="0.3">
      <c r="A184" s="97">
        <v>41016</v>
      </c>
      <c r="B184" s="7" t="s">
        <v>769</v>
      </c>
      <c r="C184" s="7" t="s">
        <v>743</v>
      </c>
      <c r="D184" t="s">
        <v>744</v>
      </c>
    </row>
    <row r="185" spans="1:4" x14ac:dyDescent="0.3">
      <c r="A185" s="97">
        <v>41016</v>
      </c>
      <c r="B185" s="7" t="s">
        <v>770</v>
      </c>
      <c r="C185" s="7" t="s">
        <v>743</v>
      </c>
      <c r="D185" t="s">
        <v>744</v>
      </c>
    </row>
    <row r="186" spans="1:4" x14ac:dyDescent="0.3">
      <c r="A186" s="97">
        <v>41016</v>
      </c>
      <c r="B186" s="7" t="s">
        <v>771</v>
      </c>
      <c r="C186" s="7" t="s">
        <v>743</v>
      </c>
      <c r="D186" t="s">
        <v>744</v>
      </c>
    </row>
    <row r="187" spans="1:4" x14ac:dyDescent="0.3">
      <c r="A187" s="97">
        <v>41016</v>
      </c>
      <c r="B187" s="7" t="s">
        <v>772</v>
      </c>
      <c r="C187" s="7" t="s">
        <v>743</v>
      </c>
      <c r="D187" t="s">
        <v>744</v>
      </c>
    </row>
    <row r="188" spans="1:4" x14ac:dyDescent="0.3">
      <c r="A188" s="97">
        <v>41016</v>
      </c>
      <c r="B188" s="7" t="s">
        <v>773</v>
      </c>
      <c r="C188" s="7" t="s">
        <v>743</v>
      </c>
      <c r="D188" t="s">
        <v>744</v>
      </c>
    </row>
    <row r="189" spans="1:4" x14ac:dyDescent="0.3">
      <c r="A189" s="97">
        <v>41016</v>
      </c>
      <c r="B189" s="7" t="s">
        <v>774</v>
      </c>
      <c r="C189" s="7" t="s">
        <v>743</v>
      </c>
      <c r="D189" t="s">
        <v>744</v>
      </c>
    </row>
    <row r="190" spans="1:4" x14ac:dyDescent="0.3">
      <c r="A190" s="97">
        <v>41016</v>
      </c>
      <c r="B190" s="7" t="s">
        <v>775</v>
      </c>
      <c r="C190" s="7" t="s">
        <v>743</v>
      </c>
      <c r="D190" t="s">
        <v>744</v>
      </c>
    </row>
    <row r="191" spans="1:4" x14ac:dyDescent="0.3">
      <c r="A191" s="97">
        <v>41016</v>
      </c>
      <c r="B191" s="7" t="s">
        <v>776</v>
      </c>
      <c r="C191" s="7" t="s">
        <v>743</v>
      </c>
      <c r="D191" t="s">
        <v>744</v>
      </c>
    </row>
    <row r="192" spans="1:4" x14ac:dyDescent="0.3">
      <c r="A192" s="97">
        <v>41016</v>
      </c>
      <c r="B192" s="7" t="s">
        <v>777</v>
      </c>
      <c r="C192" s="7" t="s">
        <v>743</v>
      </c>
      <c r="D192" t="s">
        <v>744</v>
      </c>
    </row>
    <row r="193" spans="1:4" x14ac:dyDescent="0.3">
      <c r="A193" s="97">
        <v>41016</v>
      </c>
      <c r="B193" s="7" t="s">
        <v>778</v>
      </c>
      <c r="C193" s="7" t="s">
        <v>743</v>
      </c>
      <c r="D193" t="s">
        <v>744</v>
      </c>
    </row>
    <row r="194" spans="1:4" x14ac:dyDescent="0.3">
      <c r="A194" s="97">
        <v>41016</v>
      </c>
      <c r="B194" s="7" t="s">
        <v>779</v>
      </c>
      <c r="C194" s="7" t="s">
        <v>743</v>
      </c>
      <c r="D194" t="s">
        <v>744</v>
      </c>
    </row>
    <row r="195" spans="1:4" x14ac:dyDescent="0.3">
      <c r="A195" s="97">
        <v>41016</v>
      </c>
      <c r="B195" s="7" t="s">
        <v>780</v>
      </c>
      <c r="C195" s="7" t="s">
        <v>743</v>
      </c>
      <c r="D195" t="s">
        <v>744</v>
      </c>
    </row>
    <row r="196" spans="1:4" x14ac:dyDescent="0.3">
      <c r="A196" s="97">
        <v>41016</v>
      </c>
      <c r="B196" s="7" t="s">
        <v>781</v>
      </c>
      <c r="C196" s="7" t="s">
        <v>743</v>
      </c>
      <c r="D196" t="s">
        <v>744</v>
      </c>
    </row>
    <row r="197" spans="1:4" x14ac:dyDescent="0.3">
      <c r="A197" s="97">
        <v>41016</v>
      </c>
      <c r="B197" s="7" t="s">
        <v>782</v>
      </c>
      <c r="C197" s="7" t="s">
        <v>743</v>
      </c>
      <c r="D197" t="s">
        <v>744</v>
      </c>
    </row>
    <row r="198" spans="1:4" x14ac:dyDescent="0.3">
      <c r="A198" s="97">
        <v>41016</v>
      </c>
      <c r="B198" s="7" t="s">
        <v>783</v>
      </c>
      <c r="C198" s="7" t="s">
        <v>743</v>
      </c>
      <c r="D198" t="s">
        <v>744</v>
      </c>
    </row>
    <row r="199" spans="1:4" x14ac:dyDescent="0.3">
      <c r="A199" s="97">
        <v>41016</v>
      </c>
      <c r="B199" s="7" t="s">
        <v>784</v>
      </c>
      <c r="C199" s="7" t="s">
        <v>743</v>
      </c>
      <c r="D199" t="s">
        <v>744</v>
      </c>
    </row>
    <row r="200" spans="1:4" x14ac:dyDescent="0.3">
      <c r="A200" s="97">
        <v>41016</v>
      </c>
      <c r="B200" s="7" t="s">
        <v>785</v>
      </c>
      <c r="C200" s="7" t="s">
        <v>743</v>
      </c>
      <c r="D200" t="s">
        <v>744</v>
      </c>
    </row>
    <row r="201" spans="1:4" x14ac:dyDescent="0.3">
      <c r="A201" s="97">
        <v>41016</v>
      </c>
      <c r="B201" s="7" t="s">
        <v>786</v>
      </c>
      <c r="C201" s="7" t="s">
        <v>743</v>
      </c>
      <c r="D201" t="s">
        <v>744</v>
      </c>
    </row>
    <row r="202" spans="1:4" x14ac:dyDescent="0.3">
      <c r="A202" s="97">
        <v>41016</v>
      </c>
      <c r="B202" s="7" t="s">
        <v>787</v>
      </c>
      <c r="C202" s="7" t="s">
        <v>743</v>
      </c>
      <c r="D202" t="s">
        <v>744</v>
      </c>
    </row>
    <row r="203" spans="1:4" x14ac:dyDescent="0.3">
      <c r="A203" s="97">
        <v>41016</v>
      </c>
      <c r="B203" s="7" t="s">
        <v>788</v>
      </c>
      <c r="C203" s="7" t="s">
        <v>743</v>
      </c>
      <c r="D203" t="s">
        <v>744</v>
      </c>
    </row>
    <row r="204" spans="1:4" x14ac:dyDescent="0.3">
      <c r="A204" s="97">
        <v>41016</v>
      </c>
      <c r="B204" s="7" t="s">
        <v>789</v>
      </c>
      <c r="C204" s="7" t="s">
        <v>743</v>
      </c>
      <c r="D204" t="s">
        <v>744</v>
      </c>
    </row>
    <row r="205" spans="1:4" x14ac:dyDescent="0.3">
      <c r="A205" s="97">
        <v>41016</v>
      </c>
      <c r="B205" s="7" t="s">
        <v>790</v>
      </c>
      <c r="C205" s="7" t="s">
        <v>743</v>
      </c>
      <c r="D205" t="s">
        <v>744</v>
      </c>
    </row>
    <row r="206" spans="1:4" x14ac:dyDescent="0.3">
      <c r="A206" s="97">
        <v>41016</v>
      </c>
      <c r="B206" s="7" t="s">
        <v>791</v>
      </c>
      <c r="C206" s="7" t="s">
        <v>743</v>
      </c>
      <c r="D206" t="s">
        <v>744</v>
      </c>
    </row>
    <row r="207" spans="1:4" x14ac:dyDescent="0.3">
      <c r="A207" s="97">
        <v>41016</v>
      </c>
      <c r="B207" s="7" t="s">
        <v>792</v>
      </c>
      <c r="C207" s="7" t="s">
        <v>743</v>
      </c>
      <c r="D207" t="s">
        <v>744</v>
      </c>
    </row>
    <row r="208" spans="1:4" x14ac:dyDescent="0.3">
      <c r="A208" s="97">
        <v>41016</v>
      </c>
      <c r="B208" s="7" t="s">
        <v>793</v>
      </c>
      <c r="C208" s="7" t="s">
        <v>743</v>
      </c>
      <c r="D208" t="s">
        <v>744</v>
      </c>
    </row>
    <row r="209" spans="1:4" x14ac:dyDescent="0.3">
      <c r="A209" s="97">
        <v>41016</v>
      </c>
      <c r="B209" s="7" t="s">
        <v>794</v>
      </c>
      <c r="C209" s="7" t="s">
        <v>743</v>
      </c>
      <c r="D209" t="s">
        <v>744</v>
      </c>
    </row>
    <row r="210" spans="1:4" x14ac:dyDescent="0.3">
      <c r="A210" s="97">
        <v>41016</v>
      </c>
      <c r="B210" s="7" t="s">
        <v>795</v>
      </c>
      <c r="C210" s="7" t="s">
        <v>743</v>
      </c>
      <c r="D210" t="s">
        <v>744</v>
      </c>
    </row>
    <row r="211" spans="1:4" x14ac:dyDescent="0.3">
      <c r="A211" s="97">
        <v>41016</v>
      </c>
      <c r="B211" s="7" t="s">
        <v>796</v>
      </c>
      <c r="C211" s="7" t="s">
        <v>743</v>
      </c>
      <c r="D211" t="s">
        <v>744</v>
      </c>
    </row>
    <row r="212" spans="1:4" x14ac:dyDescent="0.3">
      <c r="A212" s="97">
        <v>41016</v>
      </c>
      <c r="B212" s="7" t="s">
        <v>797</v>
      </c>
      <c r="C212" s="7" t="s">
        <v>743</v>
      </c>
      <c r="D212" t="s">
        <v>744</v>
      </c>
    </row>
    <row r="213" spans="1:4" x14ac:dyDescent="0.3">
      <c r="A213" s="97">
        <v>41016</v>
      </c>
      <c r="B213" s="7" t="s">
        <v>798</v>
      </c>
      <c r="C213" s="7" t="s">
        <v>743</v>
      </c>
      <c r="D213" t="s">
        <v>744</v>
      </c>
    </row>
    <row r="214" spans="1:4" x14ac:dyDescent="0.3">
      <c r="A214" s="97">
        <v>41016</v>
      </c>
      <c r="B214" s="7" t="s">
        <v>799</v>
      </c>
      <c r="C214" s="7" t="s">
        <v>743</v>
      </c>
      <c r="D214" t="s">
        <v>744</v>
      </c>
    </row>
    <row r="215" spans="1:4" x14ac:dyDescent="0.3">
      <c r="A215" s="97">
        <v>41016</v>
      </c>
      <c r="B215" s="7" t="s">
        <v>800</v>
      </c>
      <c r="C215" s="7" t="s">
        <v>743</v>
      </c>
      <c r="D215" t="s">
        <v>744</v>
      </c>
    </row>
    <row r="216" spans="1:4" x14ac:dyDescent="0.3">
      <c r="A216" s="97">
        <v>41016</v>
      </c>
      <c r="B216" s="7" t="s">
        <v>801</v>
      </c>
      <c r="C216" s="7" t="s">
        <v>743</v>
      </c>
      <c r="D216" t="s">
        <v>744</v>
      </c>
    </row>
    <row r="217" spans="1:4" x14ac:dyDescent="0.3">
      <c r="A217" s="97">
        <v>41016</v>
      </c>
      <c r="B217" s="7" t="s">
        <v>598</v>
      </c>
      <c r="C217" s="7" t="s">
        <v>743</v>
      </c>
      <c r="D217" t="s">
        <v>744</v>
      </c>
    </row>
    <row r="218" spans="1:4" x14ac:dyDescent="0.3">
      <c r="A218" s="97">
        <v>41016</v>
      </c>
      <c r="B218" s="7" t="s">
        <v>802</v>
      </c>
      <c r="C218" s="7" t="s">
        <v>743</v>
      </c>
      <c r="D218" t="s">
        <v>744</v>
      </c>
    </row>
    <row r="219" spans="1:4" x14ac:dyDescent="0.3">
      <c r="A219" s="97">
        <v>41016</v>
      </c>
      <c r="B219" s="7" t="s">
        <v>803</v>
      </c>
      <c r="C219" s="7" t="s">
        <v>743</v>
      </c>
      <c r="D219" t="s">
        <v>744</v>
      </c>
    </row>
    <row r="220" spans="1:4" x14ac:dyDescent="0.3">
      <c r="A220" s="97">
        <v>41016</v>
      </c>
      <c r="B220" s="7" t="s">
        <v>804</v>
      </c>
      <c r="C220" s="7" t="s">
        <v>743</v>
      </c>
      <c r="D220" t="s">
        <v>744</v>
      </c>
    </row>
    <row r="221" spans="1:4" x14ac:dyDescent="0.3">
      <c r="A221" s="97">
        <v>41016</v>
      </c>
      <c r="B221" s="7" t="s">
        <v>805</v>
      </c>
      <c r="C221" s="7" t="s">
        <v>743</v>
      </c>
      <c r="D221" t="s">
        <v>744</v>
      </c>
    </row>
    <row r="222" spans="1:4" x14ac:dyDescent="0.3">
      <c r="A222" s="97">
        <v>41016</v>
      </c>
      <c r="B222" s="7" t="s">
        <v>806</v>
      </c>
      <c r="C222" s="7" t="s">
        <v>743</v>
      </c>
      <c r="D222" t="s">
        <v>744</v>
      </c>
    </row>
    <row r="223" spans="1:4" x14ac:dyDescent="0.3">
      <c r="A223" s="97">
        <v>41016</v>
      </c>
      <c r="B223" s="7" t="s">
        <v>807</v>
      </c>
      <c r="C223" s="7" t="s">
        <v>743</v>
      </c>
      <c r="D223" t="s">
        <v>744</v>
      </c>
    </row>
    <row r="224" spans="1:4" x14ac:dyDescent="0.3">
      <c r="A224" s="97">
        <v>41016</v>
      </c>
      <c r="B224" s="7" t="s">
        <v>808</v>
      </c>
      <c r="C224" s="7" t="s">
        <v>743</v>
      </c>
      <c r="D224" t="s">
        <v>744</v>
      </c>
    </row>
    <row r="225" spans="1:4" x14ac:dyDescent="0.3">
      <c r="A225" s="97">
        <v>41016</v>
      </c>
      <c r="B225" s="7" t="s">
        <v>809</v>
      </c>
      <c r="C225" s="7" t="s">
        <v>743</v>
      </c>
      <c r="D225" t="s">
        <v>744</v>
      </c>
    </row>
    <row r="226" spans="1:4" x14ac:dyDescent="0.3">
      <c r="A226" s="97">
        <v>41016</v>
      </c>
      <c r="B226" s="7" t="s">
        <v>810</v>
      </c>
      <c r="C226" s="7" t="s">
        <v>743</v>
      </c>
      <c r="D226" t="s">
        <v>744</v>
      </c>
    </row>
    <row r="227" spans="1:4" x14ac:dyDescent="0.3">
      <c r="A227" s="97">
        <v>41016</v>
      </c>
      <c r="B227" s="7" t="s">
        <v>811</v>
      </c>
      <c r="C227" s="7" t="s">
        <v>743</v>
      </c>
      <c r="D227" t="s">
        <v>744</v>
      </c>
    </row>
    <row r="228" spans="1:4" x14ac:dyDescent="0.3">
      <c r="A228" s="97">
        <v>41016</v>
      </c>
      <c r="B228" s="7" t="s">
        <v>812</v>
      </c>
      <c r="C228" s="7" t="s">
        <v>743</v>
      </c>
      <c r="D228" t="s">
        <v>744</v>
      </c>
    </row>
    <row r="229" spans="1:4" x14ac:dyDescent="0.3">
      <c r="A229" s="97">
        <v>41016</v>
      </c>
      <c r="B229" s="7" t="s">
        <v>813</v>
      </c>
      <c r="C229" s="7" t="s">
        <v>743</v>
      </c>
      <c r="D229" t="s">
        <v>744</v>
      </c>
    </row>
    <row r="230" spans="1:4" x14ac:dyDescent="0.3">
      <c r="A230" s="97">
        <v>41016</v>
      </c>
      <c r="B230" s="7" t="s">
        <v>814</v>
      </c>
      <c r="C230" s="7" t="s">
        <v>743</v>
      </c>
      <c r="D230" t="s">
        <v>744</v>
      </c>
    </row>
    <row r="231" spans="1:4" x14ac:dyDescent="0.3">
      <c r="A231" s="97">
        <v>41016</v>
      </c>
      <c r="B231" s="7" t="s">
        <v>815</v>
      </c>
      <c r="C231" s="7" t="s">
        <v>743</v>
      </c>
      <c r="D231" t="s">
        <v>744</v>
      </c>
    </row>
    <row r="232" spans="1:4" x14ac:dyDescent="0.3">
      <c r="A232" s="97">
        <v>41016</v>
      </c>
      <c r="B232" s="7" t="s">
        <v>816</v>
      </c>
      <c r="C232" s="7" t="s">
        <v>743</v>
      </c>
      <c r="D232" t="s">
        <v>744</v>
      </c>
    </row>
    <row r="233" spans="1:4" x14ac:dyDescent="0.3">
      <c r="A233" s="97">
        <v>41016</v>
      </c>
      <c r="B233" s="7" t="s">
        <v>817</v>
      </c>
      <c r="C233" s="7" t="s">
        <v>743</v>
      </c>
      <c r="D233" t="s">
        <v>744</v>
      </c>
    </row>
    <row r="234" spans="1:4" x14ac:dyDescent="0.3">
      <c r="A234" s="97">
        <v>41016</v>
      </c>
      <c r="B234" s="7" t="s">
        <v>818</v>
      </c>
      <c r="C234" s="7" t="s">
        <v>743</v>
      </c>
      <c r="D234" t="s">
        <v>744</v>
      </c>
    </row>
    <row r="235" spans="1:4" x14ac:dyDescent="0.3">
      <c r="A235" s="97">
        <v>41016</v>
      </c>
      <c r="B235" s="7" t="s">
        <v>168</v>
      </c>
      <c r="C235" s="7" t="s">
        <v>743</v>
      </c>
      <c r="D235" t="s">
        <v>744</v>
      </c>
    </row>
    <row r="236" spans="1:4" x14ac:dyDescent="0.3">
      <c r="A236" s="97">
        <v>41016</v>
      </c>
      <c r="B236" s="7" t="s">
        <v>819</v>
      </c>
      <c r="C236" s="7" t="s">
        <v>743</v>
      </c>
      <c r="D236" t="s">
        <v>744</v>
      </c>
    </row>
    <row r="237" spans="1:4" x14ac:dyDescent="0.3">
      <c r="A237" s="97">
        <v>41016</v>
      </c>
      <c r="B237" s="7" t="s">
        <v>601</v>
      </c>
      <c r="C237" s="7" t="s">
        <v>743</v>
      </c>
      <c r="D237" t="s">
        <v>744</v>
      </c>
    </row>
    <row r="238" spans="1:4" x14ac:dyDescent="0.3">
      <c r="A238" s="97">
        <v>41016</v>
      </c>
      <c r="B238" s="7" t="s">
        <v>820</v>
      </c>
      <c r="C238" s="7" t="s">
        <v>743</v>
      </c>
      <c r="D238" t="s">
        <v>744</v>
      </c>
    </row>
    <row r="239" spans="1:4" x14ac:dyDescent="0.3">
      <c r="A239" s="97">
        <v>41016</v>
      </c>
      <c r="B239" s="7" t="s">
        <v>821</v>
      </c>
      <c r="C239" s="7" t="s">
        <v>743</v>
      </c>
      <c r="D239" t="s">
        <v>744</v>
      </c>
    </row>
    <row r="240" spans="1:4" x14ac:dyDescent="0.3">
      <c r="A240" s="97">
        <v>41016</v>
      </c>
      <c r="B240" s="7" t="s">
        <v>822</v>
      </c>
      <c r="C240" s="7" t="s">
        <v>743</v>
      </c>
      <c r="D240" t="s">
        <v>744</v>
      </c>
    </row>
    <row r="241" spans="1:4" x14ac:dyDescent="0.3">
      <c r="A241" s="97">
        <v>41016</v>
      </c>
      <c r="B241" s="7" t="s">
        <v>823</v>
      </c>
      <c r="C241" s="7" t="s">
        <v>743</v>
      </c>
      <c r="D241" t="s">
        <v>744</v>
      </c>
    </row>
    <row r="242" spans="1:4" x14ac:dyDescent="0.3">
      <c r="A242" s="97">
        <v>41016</v>
      </c>
      <c r="B242" s="7" t="s">
        <v>824</v>
      </c>
      <c r="C242" s="7" t="s">
        <v>743</v>
      </c>
      <c r="D242" t="s">
        <v>744</v>
      </c>
    </row>
    <row r="243" spans="1:4" x14ac:dyDescent="0.3">
      <c r="A243" s="97">
        <v>41016</v>
      </c>
      <c r="B243" s="7" t="s">
        <v>171</v>
      </c>
      <c r="C243" s="7" t="s">
        <v>743</v>
      </c>
      <c r="D243" t="s">
        <v>744</v>
      </c>
    </row>
    <row r="244" spans="1:4" x14ac:dyDescent="0.3">
      <c r="A244" s="97">
        <v>41016</v>
      </c>
      <c r="B244" s="7" t="s">
        <v>825</v>
      </c>
      <c r="C244" s="7" t="s">
        <v>743</v>
      </c>
      <c r="D244" t="s">
        <v>744</v>
      </c>
    </row>
    <row r="245" spans="1:4" x14ac:dyDescent="0.3">
      <c r="A245" s="97">
        <v>41016</v>
      </c>
      <c r="B245" s="7" t="s">
        <v>826</v>
      </c>
      <c r="C245" s="7" t="s">
        <v>743</v>
      </c>
      <c r="D245" t="s">
        <v>744</v>
      </c>
    </row>
    <row r="246" spans="1:4" x14ac:dyDescent="0.3">
      <c r="A246" s="97">
        <v>41016</v>
      </c>
      <c r="B246" s="7" t="s">
        <v>827</v>
      </c>
      <c r="C246" s="7" t="s">
        <v>743</v>
      </c>
      <c r="D246" t="s">
        <v>744</v>
      </c>
    </row>
    <row r="247" spans="1:4" x14ac:dyDescent="0.3">
      <c r="A247" s="97">
        <v>41016</v>
      </c>
      <c r="B247" s="7" t="s">
        <v>828</v>
      </c>
      <c r="C247" s="7" t="s">
        <v>743</v>
      </c>
      <c r="D247" t="s">
        <v>744</v>
      </c>
    </row>
    <row r="248" spans="1:4" x14ac:dyDescent="0.3">
      <c r="A248" s="97">
        <v>41016</v>
      </c>
      <c r="B248" s="7" t="s">
        <v>829</v>
      </c>
      <c r="C248" s="7" t="s">
        <v>743</v>
      </c>
      <c r="D248" t="s">
        <v>744</v>
      </c>
    </row>
    <row r="249" spans="1:4" x14ac:dyDescent="0.3">
      <c r="A249" s="97">
        <v>41016</v>
      </c>
      <c r="B249" s="7" t="s">
        <v>830</v>
      </c>
      <c r="C249" s="7" t="s">
        <v>743</v>
      </c>
      <c r="D249" t="s">
        <v>744</v>
      </c>
    </row>
    <row r="250" spans="1:4" x14ac:dyDescent="0.3">
      <c r="A250" s="97">
        <v>41016</v>
      </c>
      <c r="B250" s="7" t="s">
        <v>831</v>
      </c>
      <c r="C250" s="7" t="s">
        <v>743</v>
      </c>
      <c r="D250" t="s">
        <v>744</v>
      </c>
    </row>
    <row r="251" spans="1:4" x14ac:dyDescent="0.3">
      <c r="A251" s="97">
        <v>41016</v>
      </c>
      <c r="B251" s="7" t="s">
        <v>832</v>
      </c>
      <c r="C251" s="7" t="s">
        <v>743</v>
      </c>
      <c r="D251" t="s">
        <v>744</v>
      </c>
    </row>
    <row r="252" spans="1:4" x14ac:dyDescent="0.3">
      <c r="A252" s="97">
        <v>41016</v>
      </c>
      <c r="B252" s="7" t="s">
        <v>833</v>
      </c>
      <c r="C252" s="7" t="s">
        <v>743</v>
      </c>
      <c r="D252" t="s">
        <v>744</v>
      </c>
    </row>
    <row r="253" spans="1:4" x14ac:dyDescent="0.3">
      <c r="A253" s="97">
        <v>41016</v>
      </c>
      <c r="B253" s="7" t="s">
        <v>834</v>
      </c>
      <c r="C253" s="7" t="s">
        <v>743</v>
      </c>
      <c r="D253" t="s">
        <v>744</v>
      </c>
    </row>
    <row r="254" spans="1:4" x14ac:dyDescent="0.3">
      <c r="A254" s="97">
        <v>41016</v>
      </c>
      <c r="B254" s="7" t="s">
        <v>835</v>
      </c>
      <c r="C254" s="7" t="s">
        <v>743</v>
      </c>
      <c r="D254" t="s">
        <v>744</v>
      </c>
    </row>
    <row r="255" spans="1:4" x14ac:dyDescent="0.3">
      <c r="A255" s="97">
        <v>41016</v>
      </c>
      <c r="B255" s="7" t="s">
        <v>836</v>
      </c>
      <c r="C255" s="7" t="s">
        <v>743</v>
      </c>
      <c r="D255" t="s">
        <v>744</v>
      </c>
    </row>
    <row r="256" spans="1:4" x14ac:dyDescent="0.3">
      <c r="A256" s="97">
        <v>41016</v>
      </c>
      <c r="B256" s="7" t="s">
        <v>837</v>
      </c>
      <c r="C256" s="7" t="s">
        <v>743</v>
      </c>
      <c r="D256" t="s">
        <v>744</v>
      </c>
    </row>
    <row r="257" spans="1:4" x14ac:dyDescent="0.3">
      <c r="A257" s="97">
        <v>41016</v>
      </c>
      <c r="B257" s="7" t="s">
        <v>838</v>
      </c>
      <c r="C257" s="7" t="s">
        <v>743</v>
      </c>
      <c r="D257" t="s">
        <v>744</v>
      </c>
    </row>
    <row r="258" spans="1:4" x14ac:dyDescent="0.3">
      <c r="A258" s="97">
        <v>41016</v>
      </c>
      <c r="B258" s="7" t="s">
        <v>839</v>
      </c>
      <c r="C258" s="7" t="s">
        <v>743</v>
      </c>
      <c r="D258" t="s">
        <v>744</v>
      </c>
    </row>
    <row r="259" spans="1:4" x14ac:dyDescent="0.3">
      <c r="A259" s="97">
        <v>41016</v>
      </c>
      <c r="B259" s="7" t="s">
        <v>840</v>
      </c>
      <c r="C259" s="7" t="s">
        <v>743</v>
      </c>
      <c r="D259" t="s">
        <v>744</v>
      </c>
    </row>
    <row r="260" spans="1:4" x14ac:dyDescent="0.3">
      <c r="A260" s="97">
        <v>41016</v>
      </c>
      <c r="B260" s="7" t="s">
        <v>841</v>
      </c>
      <c r="C260" s="7" t="s">
        <v>743</v>
      </c>
      <c r="D260" t="s">
        <v>744</v>
      </c>
    </row>
    <row r="261" spans="1:4" x14ac:dyDescent="0.3">
      <c r="A261" s="97">
        <v>41016</v>
      </c>
      <c r="B261" s="7" t="s">
        <v>521</v>
      </c>
      <c r="C261" s="7" t="s">
        <v>743</v>
      </c>
      <c r="D261" t="s">
        <v>744</v>
      </c>
    </row>
    <row r="262" spans="1:4" x14ac:dyDescent="0.3">
      <c r="A262" s="97">
        <v>41016</v>
      </c>
      <c r="B262" s="7" t="s">
        <v>842</v>
      </c>
      <c r="C262" s="7" t="s">
        <v>743</v>
      </c>
      <c r="D262" t="s">
        <v>744</v>
      </c>
    </row>
    <row r="263" spans="1:4" x14ac:dyDescent="0.3">
      <c r="A263" s="97">
        <v>41016</v>
      </c>
      <c r="B263" s="7" t="s">
        <v>843</v>
      </c>
      <c r="C263" s="7" t="s">
        <v>743</v>
      </c>
      <c r="D263" t="s">
        <v>744</v>
      </c>
    </row>
    <row r="264" spans="1:4" x14ac:dyDescent="0.3">
      <c r="A264" s="97">
        <v>41016</v>
      </c>
      <c r="B264" s="7" t="s">
        <v>844</v>
      </c>
      <c r="C264" s="7" t="s">
        <v>743</v>
      </c>
      <c r="D264" t="s">
        <v>744</v>
      </c>
    </row>
    <row r="265" spans="1:4" x14ac:dyDescent="0.3">
      <c r="A265" s="97">
        <v>41016</v>
      </c>
      <c r="B265" s="7" t="s">
        <v>845</v>
      </c>
      <c r="C265" s="7" t="s">
        <v>743</v>
      </c>
      <c r="D265" t="s">
        <v>744</v>
      </c>
    </row>
    <row r="266" spans="1:4" x14ac:dyDescent="0.3">
      <c r="A266" s="97">
        <v>41016</v>
      </c>
      <c r="B266" s="7" t="s">
        <v>846</v>
      </c>
      <c r="C266" s="7" t="s">
        <v>743</v>
      </c>
      <c r="D266" t="s">
        <v>744</v>
      </c>
    </row>
    <row r="267" spans="1:4" x14ac:dyDescent="0.3">
      <c r="A267" s="97">
        <v>41016</v>
      </c>
      <c r="B267" s="7" t="s">
        <v>847</v>
      </c>
      <c r="C267" s="7" t="s">
        <v>743</v>
      </c>
      <c r="D267" t="s">
        <v>744</v>
      </c>
    </row>
    <row r="268" spans="1:4" x14ac:dyDescent="0.3">
      <c r="A268" s="97">
        <v>41016</v>
      </c>
      <c r="B268" s="7" t="s">
        <v>848</v>
      </c>
      <c r="C268" s="7" t="s">
        <v>743</v>
      </c>
      <c r="D268" t="s">
        <v>744</v>
      </c>
    </row>
    <row r="269" spans="1:4" x14ac:dyDescent="0.3">
      <c r="A269" s="97">
        <v>41016</v>
      </c>
      <c r="B269" s="7" t="s">
        <v>849</v>
      </c>
      <c r="C269" s="7" t="s">
        <v>743</v>
      </c>
      <c r="D269" t="s">
        <v>744</v>
      </c>
    </row>
    <row r="270" spans="1:4" x14ac:dyDescent="0.3">
      <c r="A270" s="97">
        <v>41016</v>
      </c>
      <c r="B270" s="7" t="s">
        <v>850</v>
      </c>
      <c r="C270" s="7" t="s">
        <v>743</v>
      </c>
      <c r="D270" t="s">
        <v>744</v>
      </c>
    </row>
    <row r="271" spans="1:4" x14ac:dyDescent="0.3">
      <c r="A271" s="97">
        <v>41016</v>
      </c>
      <c r="B271" s="7" t="s">
        <v>851</v>
      </c>
      <c r="C271" s="7" t="s">
        <v>743</v>
      </c>
      <c r="D271" t="s">
        <v>744</v>
      </c>
    </row>
    <row r="272" spans="1:4" x14ac:dyDescent="0.3">
      <c r="A272" s="97">
        <v>41016</v>
      </c>
      <c r="B272" s="7" t="s">
        <v>852</v>
      </c>
      <c r="C272" s="7" t="s">
        <v>743</v>
      </c>
      <c r="D272" t="s">
        <v>744</v>
      </c>
    </row>
    <row r="273" spans="1:4" x14ac:dyDescent="0.3">
      <c r="A273" s="97">
        <v>41016</v>
      </c>
      <c r="B273" s="7" t="s">
        <v>853</v>
      </c>
      <c r="C273" s="7" t="s">
        <v>743</v>
      </c>
      <c r="D273" t="s">
        <v>744</v>
      </c>
    </row>
    <row r="274" spans="1:4" x14ac:dyDescent="0.3">
      <c r="A274" s="97">
        <v>41016</v>
      </c>
      <c r="B274" s="7" t="s">
        <v>854</v>
      </c>
      <c r="C274" s="7" t="s">
        <v>743</v>
      </c>
      <c r="D274" t="s">
        <v>744</v>
      </c>
    </row>
    <row r="275" spans="1:4" x14ac:dyDescent="0.3">
      <c r="A275" s="97">
        <v>41016</v>
      </c>
      <c r="B275" s="7" t="s">
        <v>855</v>
      </c>
      <c r="C275" s="7" t="s">
        <v>743</v>
      </c>
      <c r="D275" t="s">
        <v>744</v>
      </c>
    </row>
    <row r="276" spans="1:4" x14ac:dyDescent="0.3">
      <c r="A276" s="97">
        <v>41016</v>
      </c>
      <c r="B276" s="7" t="s">
        <v>856</v>
      </c>
      <c r="C276" s="7" t="s">
        <v>743</v>
      </c>
      <c r="D276" t="s">
        <v>744</v>
      </c>
    </row>
    <row r="277" spans="1:4" x14ac:dyDescent="0.3">
      <c r="A277" s="97">
        <v>41016</v>
      </c>
      <c r="B277" s="7" t="s">
        <v>857</v>
      </c>
      <c r="C277" s="7" t="s">
        <v>743</v>
      </c>
      <c r="D277" t="s">
        <v>744</v>
      </c>
    </row>
    <row r="278" spans="1:4" x14ac:dyDescent="0.3">
      <c r="A278" s="97">
        <v>41016</v>
      </c>
      <c r="B278" s="7" t="s">
        <v>858</v>
      </c>
      <c r="C278" s="7" t="s">
        <v>743</v>
      </c>
      <c r="D278" t="s">
        <v>744</v>
      </c>
    </row>
    <row r="279" spans="1:4" x14ac:dyDescent="0.3">
      <c r="A279" s="97">
        <v>41016</v>
      </c>
      <c r="B279" s="7" t="s">
        <v>859</v>
      </c>
      <c r="C279" s="7" t="s">
        <v>743</v>
      </c>
      <c r="D279" t="s">
        <v>744</v>
      </c>
    </row>
    <row r="280" spans="1:4" x14ac:dyDescent="0.3">
      <c r="A280" s="97">
        <v>41016</v>
      </c>
      <c r="B280" s="7" t="s">
        <v>177</v>
      </c>
      <c r="C280" s="7" t="s">
        <v>743</v>
      </c>
      <c r="D280" t="s">
        <v>744</v>
      </c>
    </row>
    <row r="281" spans="1:4" x14ac:dyDescent="0.3">
      <c r="A281" s="97">
        <v>41016</v>
      </c>
      <c r="B281" s="7" t="s">
        <v>860</v>
      </c>
      <c r="C281" s="7" t="s">
        <v>743</v>
      </c>
      <c r="D281" t="s">
        <v>744</v>
      </c>
    </row>
    <row r="282" spans="1:4" x14ac:dyDescent="0.3">
      <c r="A282" s="97">
        <v>41016</v>
      </c>
      <c r="B282" s="7" t="s">
        <v>861</v>
      </c>
      <c r="C282" s="7" t="s">
        <v>743</v>
      </c>
      <c r="D282" t="s">
        <v>744</v>
      </c>
    </row>
    <row r="283" spans="1:4" x14ac:dyDescent="0.3">
      <c r="A283" s="97">
        <v>41016</v>
      </c>
      <c r="B283" s="7" t="s">
        <v>862</v>
      </c>
      <c r="C283" s="7" t="s">
        <v>743</v>
      </c>
      <c r="D283" t="s">
        <v>744</v>
      </c>
    </row>
    <row r="284" spans="1:4" x14ac:dyDescent="0.3">
      <c r="A284" s="97">
        <v>41016</v>
      </c>
      <c r="B284" s="7" t="s">
        <v>863</v>
      </c>
      <c r="C284" s="7" t="s">
        <v>743</v>
      </c>
      <c r="D284" t="s">
        <v>744</v>
      </c>
    </row>
    <row r="285" spans="1:4" x14ac:dyDescent="0.3">
      <c r="A285" s="97">
        <v>41016</v>
      </c>
      <c r="B285" s="7" t="s">
        <v>864</v>
      </c>
      <c r="C285" s="7" t="s">
        <v>743</v>
      </c>
      <c r="D285" t="s">
        <v>744</v>
      </c>
    </row>
    <row r="286" spans="1:4" x14ac:dyDescent="0.3">
      <c r="A286" s="97">
        <v>41016</v>
      </c>
      <c r="B286" s="7" t="s">
        <v>865</v>
      </c>
      <c r="C286" s="7" t="s">
        <v>743</v>
      </c>
      <c r="D286" t="s">
        <v>744</v>
      </c>
    </row>
    <row r="287" spans="1:4" x14ac:dyDescent="0.3">
      <c r="A287" s="97">
        <v>41016</v>
      </c>
      <c r="B287" s="7" t="s">
        <v>866</v>
      </c>
      <c r="C287" s="7" t="s">
        <v>743</v>
      </c>
      <c r="D287" t="s">
        <v>744</v>
      </c>
    </row>
    <row r="288" spans="1:4" x14ac:dyDescent="0.3">
      <c r="A288" s="97">
        <v>41016</v>
      </c>
      <c r="B288" s="7" t="s">
        <v>867</v>
      </c>
      <c r="C288" s="7" t="s">
        <v>743</v>
      </c>
      <c r="D288" t="s">
        <v>744</v>
      </c>
    </row>
    <row r="289" spans="1:4" x14ac:dyDescent="0.3">
      <c r="A289" s="97">
        <v>41016</v>
      </c>
      <c r="B289" s="7" t="s">
        <v>868</v>
      </c>
      <c r="C289" s="7" t="s">
        <v>743</v>
      </c>
      <c r="D289" t="s">
        <v>744</v>
      </c>
    </row>
    <row r="290" spans="1:4" x14ac:dyDescent="0.3">
      <c r="A290" s="97">
        <v>41016</v>
      </c>
      <c r="B290" s="7" t="s">
        <v>869</v>
      </c>
      <c r="C290" s="7" t="s">
        <v>743</v>
      </c>
      <c r="D290" t="s">
        <v>744</v>
      </c>
    </row>
    <row r="291" spans="1:4" x14ac:dyDescent="0.3">
      <c r="A291" s="97">
        <v>41016</v>
      </c>
      <c r="B291" s="7" t="s">
        <v>870</v>
      </c>
      <c r="C291" s="7" t="s">
        <v>743</v>
      </c>
      <c r="D291" t="s">
        <v>744</v>
      </c>
    </row>
    <row r="292" spans="1:4" x14ac:dyDescent="0.3">
      <c r="A292" s="97">
        <v>41016</v>
      </c>
      <c r="B292" s="7" t="s">
        <v>871</v>
      </c>
      <c r="C292" s="7" t="s">
        <v>743</v>
      </c>
      <c r="D292" t="s">
        <v>744</v>
      </c>
    </row>
    <row r="293" spans="1:4" x14ac:dyDescent="0.3">
      <c r="A293" s="97">
        <v>41016</v>
      </c>
      <c r="B293" s="7" t="s">
        <v>872</v>
      </c>
      <c r="C293" s="7" t="s">
        <v>743</v>
      </c>
      <c r="D293" t="s">
        <v>744</v>
      </c>
    </row>
    <row r="294" spans="1:4" x14ac:dyDescent="0.3">
      <c r="A294" s="97">
        <v>41016</v>
      </c>
      <c r="B294" s="7" t="s">
        <v>873</v>
      </c>
      <c r="C294" s="7" t="s">
        <v>743</v>
      </c>
      <c r="D294" t="s">
        <v>744</v>
      </c>
    </row>
    <row r="295" spans="1:4" x14ac:dyDescent="0.3">
      <c r="A295" s="97">
        <v>41016</v>
      </c>
      <c r="B295" s="7" t="s">
        <v>874</v>
      </c>
      <c r="C295" s="7" t="s">
        <v>743</v>
      </c>
      <c r="D295" t="s">
        <v>744</v>
      </c>
    </row>
    <row r="296" spans="1:4" x14ac:dyDescent="0.3">
      <c r="A296" s="97">
        <v>41016</v>
      </c>
      <c r="B296" s="7" t="s">
        <v>875</v>
      </c>
      <c r="C296" s="7" t="s">
        <v>743</v>
      </c>
      <c r="D296" t="s">
        <v>744</v>
      </c>
    </row>
    <row r="297" spans="1:4" x14ac:dyDescent="0.3">
      <c r="A297" s="97">
        <v>41016</v>
      </c>
      <c r="B297" s="7" t="s">
        <v>876</v>
      </c>
      <c r="C297" s="7" t="s">
        <v>743</v>
      </c>
      <c r="D297" t="s">
        <v>744</v>
      </c>
    </row>
    <row r="298" spans="1:4" x14ac:dyDescent="0.3">
      <c r="A298" s="97">
        <v>41016</v>
      </c>
      <c r="B298" s="7" t="s">
        <v>877</v>
      </c>
      <c r="C298" s="7" t="s">
        <v>743</v>
      </c>
      <c r="D298" t="s">
        <v>744</v>
      </c>
    </row>
    <row r="299" spans="1:4" x14ac:dyDescent="0.3">
      <c r="A299" s="97">
        <v>41016</v>
      </c>
      <c r="B299" s="7" t="s">
        <v>878</v>
      </c>
      <c r="C299" s="7" t="s">
        <v>743</v>
      </c>
      <c r="D299" t="s">
        <v>744</v>
      </c>
    </row>
    <row r="300" spans="1:4" x14ac:dyDescent="0.3">
      <c r="A300" s="97">
        <v>41016</v>
      </c>
      <c r="B300" s="7" t="s">
        <v>879</v>
      </c>
      <c r="C300" s="7" t="s">
        <v>743</v>
      </c>
      <c r="D300" t="s">
        <v>744</v>
      </c>
    </row>
    <row r="301" spans="1:4" x14ac:dyDescent="0.3">
      <c r="A301" s="97">
        <v>41016</v>
      </c>
      <c r="B301" s="7" t="s">
        <v>880</v>
      </c>
      <c r="C301" s="7" t="s">
        <v>743</v>
      </c>
      <c r="D301" t="s">
        <v>744</v>
      </c>
    </row>
    <row r="302" spans="1:4" x14ac:dyDescent="0.3">
      <c r="A302" s="97">
        <v>41016</v>
      </c>
      <c r="B302" s="7" t="s">
        <v>881</v>
      </c>
      <c r="C302" s="7" t="s">
        <v>743</v>
      </c>
      <c r="D302" t="s">
        <v>744</v>
      </c>
    </row>
    <row r="303" spans="1:4" x14ac:dyDescent="0.3">
      <c r="A303" s="97">
        <v>41016</v>
      </c>
      <c r="B303" s="7" t="s">
        <v>882</v>
      </c>
      <c r="C303" s="7" t="s">
        <v>743</v>
      </c>
      <c r="D303" t="s">
        <v>744</v>
      </c>
    </row>
    <row r="304" spans="1:4" x14ac:dyDescent="0.3">
      <c r="A304" s="97">
        <v>41016</v>
      </c>
      <c r="B304" s="7" t="s">
        <v>883</v>
      </c>
      <c r="C304" s="7" t="s">
        <v>743</v>
      </c>
      <c r="D304" t="s">
        <v>744</v>
      </c>
    </row>
    <row r="305" spans="1:4" x14ac:dyDescent="0.3">
      <c r="A305" s="97">
        <v>41016</v>
      </c>
      <c r="B305" s="7" t="s">
        <v>884</v>
      </c>
      <c r="C305" s="7" t="s">
        <v>743</v>
      </c>
      <c r="D305" t="s">
        <v>744</v>
      </c>
    </row>
    <row r="306" spans="1:4" x14ac:dyDescent="0.3">
      <c r="A306" s="97">
        <v>41016</v>
      </c>
      <c r="B306" s="7" t="s">
        <v>885</v>
      </c>
      <c r="C306" s="7" t="s">
        <v>743</v>
      </c>
      <c r="D306" t="s">
        <v>744</v>
      </c>
    </row>
    <row r="307" spans="1:4" x14ac:dyDescent="0.3">
      <c r="A307" s="97">
        <v>41016</v>
      </c>
      <c r="B307" s="7" t="s">
        <v>886</v>
      </c>
      <c r="C307" s="7" t="s">
        <v>743</v>
      </c>
      <c r="D307" t="s">
        <v>744</v>
      </c>
    </row>
    <row r="308" spans="1:4" x14ac:dyDescent="0.3">
      <c r="A308" s="97">
        <v>41016</v>
      </c>
      <c r="B308" s="7" t="s">
        <v>887</v>
      </c>
      <c r="C308" s="7" t="s">
        <v>743</v>
      </c>
      <c r="D308" t="s">
        <v>744</v>
      </c>
    </row>
    <row r="309" spans="1:4" x14ac:dyDescent="0.3">
      <c r="A309" s="97">
        <v>41016</v>
      </c>
      <c r="B309" s="7" t="s">
        <v>888</v>
      </c>
      <c r="C309" s="7" t="s">
        <v>743</v>
      </c>
      <c r="D309" t="s">
        <v>744</v>
      </c>
    </row>
    <row r="310" spans="1:4" x14ac:dyDescent="0.3">
      <c r="A310" s="97">
        <v>41016</v>
      </c>
      <c r="B310" s="7" t="s">
        <v>889</v>
      </c>
      <c r="C310" s="7" t="s">
        <v>743</v>
      </c>
      <c r="D310" t="s">
        <v>744</v>
      </c>
    </row>
    <row r="311" spans="1:4" x14ac:dyDescent="0.3">
      <c r="A311" s="97">
        <v>41016</v>
      </c>
      <c r="B311" s="7" t="s">
        <v>890</v>
      </c>
      <c r="C311" s="7" t="s">
        <v>743</v>
      </c>
      <c r="D311" t="s">
        <v>744</v>
      </c>
    </row>
    <row r="312" spans="1:4" x14ac:dyDescent="0.3">
      <c r="A312" s="97">
        <v>41016</v>
      </c>
      <c r="B312" s="7" t="s">
        <v>891</v>
      </c>
      <c r="C312" s="7" t="s">
        <v>743</v>
      </c>
      <c r="D312" t="s">
        <v>744</v>
      </c>
    </row>
    <row r="313" spans="1:4" x14ac:dyDescent="0.3">
      <c r="A313" s="97">
        <v>41016</v>
      </c>
      <c r="B313" s="7" t="s">
        <v>892</v>
      </c>
      <c r="C313" s="7" t="s">
        <v>743</v>
      </c>
      <c r="D313" t="s">
        <v>744</v>
      </c>
    </row>
    <row r="314" spans="1:4" x14ac:dyDescent="0.3">
      <c r="A314" s="97">
        <v>41016</v>
      </c>
      <c r="B314" s="7" t="s">
        <v>893</v>
      </c>
      <c r="C314" s="7" t="s">
        <v>743</v>
      </c>
      <c r="D314" t="s">
        <v>744</v>
      </c>
    </row>
    <row r="315" spans="1:4" x14ac:dyDescent="0.3">
      <c r="A315" s="97">
        <v>41016</v>
      </c>
      <c r="B315" s="7" t="s">
        <v>894</v>
      </c>
      <c r="C315" s="7" t="s">
        <v>743</v>
      </c>
      <c r="D315" t="s">
        <v>744</v>
      </c>
    </row>
    <row r="316" spans="1:4" x14ac:dyDescent="0.3">
      <c r="A316" s="97">
        <v>41016</v>
      </c>
      <c r="B316" s="7" t="s">
        <v>895</v>
      </c>
      <c r="C316" s="7" t="s">
        <v>743</v>
      </c>
      <c r="D316" t="s">
        <v>744</v>
      </c>
    </row>
    <row r="317" spans="1:4" x14ac:dyDescent="0.3">
      <c r="A317" s="97">
        <v>41016</v>
      </c>
      <c r="B317" s="7" t="s">
        <v>896</v>
      </c>
      <c r="C317" s="7" t="s">
        <v>743</v>
      </c>
      <c r="D317" t="s">
        <v>744</v>
      </c>
    </row>
    <row r="318" spans="1:4" x14ac:dyDescent="0.3">
      <c r="A318" s="97">
        <v>41016</v>
      </c>
      <c r="B318" s="7" t="s">
        <v>897</v>
      </c>
      <c r="C318" s="7" t="s">
        <v>743</v>
      </c>
      <c r="D318" t="s">
        <v>744</v>
      </c>
    </row>
    <row r="319" spans="1:4" x14ac:dyDescent="0.3">
      <c r="A319" s="97">
        <v>41016</v>
      </c>
      <c r="B319" s="7" t="s">
        <v>898</v>
      </c>
      <c r="C319" s="7" t="s">
        <v>743</v>
      </c>
      <c r="D319" t="s">
        <v>744</v>
      </c>
    </row>
    <row r="320" spans="1:4" x14ac:dyDescent="0.3">
      <c r="A320" s="97">
        <v>41016</v>
      </c>
      <c r="B320" s="7" t="s">
        <v>899</v>
      </c>
      <c r="C320" s="7" t="s">
        <v>743</v>
      </c>
      <c r="D320" t="s">
        <v>744</v>
      </c>
    </row>
    <row r="321" spans="1:4" x14ac:dyDescent="0.3">
      <c r="A321" s="97">
        <v>41016</v>
      </c>
      <c r="B321" s="7" t="s">
        <v>900</v>
      </c>
      <c r="C321" s="7" t="s">
        <v>743</v>
      </c>
      <c r="D321" t="s">
        <v>744</v>
      </c>
    </row>
    <row r="322" spans="1:4" x14ac:dyDescent="0.3">
      <c r="A322" s="97">
        <v>41016</v>
      </c>
      <c r="B322" s="7" t="s">
        <v>901</v>
      </c>
      <c r="C322" s="7" t="s">
        <v>743</v>
      </c>
      <c r="D322" t="s">
        <v>744</v>
      </c>
    </row>
    <row r="323" spans="1:4" x14ac:dyDescent="0.3">
      <c r="A323" s="97">
        <v>41016</v>
      </c>
      <c r="B323" s="7" t="s">
        <v>902</v>
      </c>
      <c r="C323" s="7" t="s">
        <v>743</v>
      </c>
      <c r="D323" t="s">
        <v>744</v>
      </c>
    </row>
    <row r="324" spans="1:4" x14ac:dyDescent="0.3">
      <c r="A324" s="97">
        <v>41016</v>
      </c>
      <c r="B324" s="7" t="s">
        <v>903</v>
      </c>
      <c r="C324" s="7" t="s">
        <v>743</v>
      </c>
      <c r="D324" t="s">
        <v>744</v>
      </c>
    </row>
    <row r="325" spans="1:4" x14ac:dyDescent="0.3">
      <c r="A325" s="97">
        <v>41016</v>
      </c>
      <c r="B325" s="7" t="s">
        <v>904</v>
      </c>
      <c r="C325" s="7" t="s">
        <v>743</v>
      </c>
      <c r="D325" t="s">
        <v>744</v>
      </c>
    </row>
    <row r="326" spans="1:4" x14ac:dyDescent="0.3">
      <c r="A326" s="97">
        <v>41016</v>
      </c>
      <c r="B326" s="7" t="s">
        <v>905</v>
      </c>
      <c r="C326" s="7" t="s">
        <v>743</v>
      </c>
      <c r="D326" t="s">
        <v>744</v>
      </c>
    </row>
    <row r="327" spans="1:4" x14ac:dyDescent="0.3">
      <c r="A327" s="97">
        <v>41016</v>
      </c>
      <c r="B327" s="7" t="s">
        <v>906</v>
      </c>
      <c r="C327" s="7" t="s">
        <v>743</v>
      </c>
      <c r="D327" t="s">
        <v>744</v>
      </c>
    </row>
    <row r="328" spans="1:4" x14ac:dyDescent="0.3">
      <c r="A328" s="97">
        <v>41016</v>
      </c>
      <c r="B328" s="7" t="s">
        <v>907</v>
      </c>
      <c r="C328" s="7" t="s">
        <v>743</v>
      </c>
      <c r="D328" t="s">
        <v>744</v>
      </c>
    </row>
    <row r="329" spans="1:4" x14ac:dyDescent="0.3">
      <c r="A329" s="97">
        <v>41016</v>
      </c>
      <c r="B329" s="7" t="s">
        <v>908</v>
      </c>
      <c r="C329" s="7" t="s">
        <v>743</v>
      </c>
      <c r="D329" t="s">
        <v>744</v>
      </c>
    </row>
    <row r="330" spans="1:4" x14ac:dyDescent="0.3">
      <c r="A330" s="97">
        <v>41016</v>
      </c>
      <c r="B330" s="7" t="s">
        <v>909</v>
      </c>
      <c r="C330" s="7" t="s">
        <v>743</v>
      </c>
      <c r="D330" t="s">
        <v>744</v>
      </c>
    </row>
    <row r="331" spans="1:4" x14ac:dyDescent="0.3">
      <c r="A331" s="97">
        <v>41016</v>
      </c>
      <c r="B331" s="7" t="s">
        <v>910</v>
      </c>
      <c r="C331" s="7" t="s">
        <v>743</v>
      </c>
      <c r="D331" t="s">
        <v>744</v>
      </c>
    </row>
    <row r="332" spans="1:4" x14ac:dyDescent="0.3">
      <c r="A332" s="97">
        <v>41016</v>
      </c>
      <c r="B332" s="7" t="s">
        <v>911</v>
      </c>
      <c r="C332" s="7" t="s">
        <v>743</v>
      </c>
      <c r="D332" t="s">
        <v>744</v>
      </c>
    </row>
    <row r="333" spans="1:4" x14ac:dyDescent="0.3">
      <c r="A333" s="97">
        <v>41016</v>
      </c>
      <c r="B333" s="7" t="s">
        <v>912</v>
      </c>
      <c r="C333" s="7" t="s">
        <v>743</v>
      </c>
      <c r="D333" t="s">
        <v>744</v>
      </c>
    </row>
    <row r="334" spans="1:4" x14ac:dyDescent="0.3">
      <c r="A334" s="97">
        <v>41016</v>
      </c>
      <c r="B334" s="7" t="s">
        <v>913</v>
      </c>
      <c r="C334" s="7" t="s">
        <v>743</v>
      </c>
      <c r="D334" t="s">
        <v>744</v>
      </c>
    </row>
    <row r="335" spans="1:4" x14ac:dyDescent="0.3">
      <c r="A335" s="97">
        <v>41016</v>
      </c>
      <c r="B335" s="7" t="s">
        <v>914</v>
      </c>
      <c r="C335" s="7" t="s">
        <v>743</v>
      </c>
      <c r="D335" t="s">
        <v>744</v>
      </c>
    </row>
    <row r="336" spans="1:4" x14ac:dyDescent="0.3">
      <c r="A336" s="97">
        <v>41016</v>
      </c>
      <c r="B336" s="7" t="s">
        <v>915</v>
      </c>
      <c r="C336" s="7" t="s">
        <v>743</v>
      </c>
      <c r="D336" t="s">
        <v>744</v>
      </c>
    </row>
    <row r="337" spans="1:4" x14ac:dyDescent="0.3">
      <c r="A337" s="97">
        <v>41016</v>
      </c>
      <c r="B337" s="7" t="s">
        <v>916</v>
      </c>
      <c r="C337" s="7" t="s">
        <v>743</v>
      </c>
      <c r="D337" t="s">
        <v>744</v>
      </c>
    </row>
    <row r="338" spans="1:4" x14ac:dyDescent="0.3">
      <c r="A338" s="97">
        <v>41016</v>
      </c>
      <c r="B338" s="7" t="s">
        <v>917</v>
      </c>
      <c r="C338" s="7" t="s">
        <v>743</v>
      </c>
      <c r="D338" t="s">
        <v>744</v>
      </c>
    </row>
    <row r="339" spans="1:4" x14ac:dyDescent="0.3">
      <c r="A339" s="97">
        <v>41016</v>
      </c>
      <c r="B339" s="7" t="s">
        <v>918</v>
      </c>
      <c r="C339" s="7" t="s">
        <v>743</v>
      </c>
      <c r="D339" t="s">
        <v>744</v>
      </c>
    </row>
    <row r="340" spans="1:4" x14ac:dyDescent="0.3">
      <c r="A340" s="97">
        <v>41016</v>
      </c>
      <c r="B340" s="7" t="s">
        <v>919</v>
      </c>
      <c r="C340" s="7" t="s">
        <v>743</v>
      </c>
      <c r="D340" t="s">
        <v>744</v>
      </c>
    </row>
    <row r="341" spans="1:4" x14ac:dyDescent="0.3">
      <c r="A341" s="97">
        <v>41016</v>
      </c>
      <c r="B341" s="7" t="s">
        <v>920</v>
      </c>
      <c r="C341" s="7" t="s">
        <v>743</v>
      </c>
      <c r="D341" t="s">
        <v>744</v>
      </c>
    </row>
    <row r="342" spans="1:4" x14ac:dyDescent="0.3">
      <c r="A342" s="97">
        <v>41016</v>
      </c>
      <c r="B342" s="7" t="s">
        <v>921</v>
      </c>
      <c r="C342" s="7" t="s">
        <v>743</v>
      </c>
      <c r="D342" t="s">
        <v>744</v>
      </c>
    </row>
    <row r="343" spans="1:4" x14ac:dyDescent="0.3">
      <c r="A343" s="97">
        <v>41016</v>
      </c>
      <c r="B343" s="7" t="s">
        <v>922</v>
      </c>
      <c r="C343" s="7" t="s">
        <v>743</v>
      </c>
      <c r="D343" t="s">
        <v>744</v>
      </c>
    </row>
    <row r="344" spans="1:4" x14ac:dyDescent="0.3">
      <c r="A344" s="97">
        <v>41016</v>
      </c>
      <c r="B344" s="7" t="s">
        <v>923</v>
      </c>
      <c r="C344" s="7" t="s">
        <v>743</v>
      </c>
      <c r="D344" t="s">
        <v>744</v>
      </c>
    </row>
    <row r="345" spans="1:4" x14ac:dyDescent="0.3">
      <c r="A345" s="97">
        <v>41016</v>
      </c>
      <c r="B345" s="7" t="s">
        <v>924</v>
      </c>
      <c r="C345" s="7" t="s">
        <v>743</v>
      </c>
      <c r="D345" t="s">
        <v>744</v>
      </c>
    </row>
    <row r="346" spans="1:4" x14ac:dyDescent="0.3">
      <c r="A346" s="97">
        <v>41016</v>
      </c>
      <c r="B346" s="7" t="s">
        <v>925</v>
      </c>
      <c r="C346" s="7" t="s">
        <v>743</v>
      </c>
      <c r="D346" t="s">
        <v>744</v>
      </c>
    </row>
    <row r="347" spans="1:4" x14ac:dyDescent="0.3">
      <c r="A347" s="97">
        <v>41016</v>
      </c>
      <c r="B347" s="7" t="s">
        <v>926</v>
      </c>
      <c r="C347" s="7" t="s">
        <v>743</v>
      </c>
      <c r="D347" t="s">
        <v>744</v>
      </c>
    </row>
    <row r="348" spans="1:4" x14ac:dyDescent="0.3">
      <c r="A348" s="97">
        <v>41016</v>
      </c>
      <c r="B348" s="7" t="s">
        <v>927</v>
      </c>
      <c r="C348" s="7" t="s">
        <v>743</v>
      </c>
      <c r="D348" t="s">
        <v>744</v>
      </c>
    </row>
    <row r="349" spans="1:4" x14ac:dyDescent="0.3">
      <c r="A349" s="97">
        <v>41016</v>
      </c>
      <c r="B349" s="7" t="s">
        <v>928</v>
      </c>
      <c r="C349" s="7" t="s">
        <v>743</v>
      </c>
      <c r="D349" t="s">
        <v>744</v>
      </c>
    </row>
    <row r="350" spans="1:4" x14ac:dyDescent="0.3">
      <c r="A350" s="97">
        <v>41016</v>
      </c>
      <c r="B350" s="7" t="s">
        <v>929</v>
      </c>
      <c r="C350" s="7" t="s">
        <v>743</v>
      </c>
      <c r="D350" t="s">
        <v>744</v>
      </c>
    </row>
    <row r="351" spans="1:4" x14ac:dyDescent="0.3">
      <c r="A351" s="97">
        <v>41016</v>
      </c>
      <c r="B351" s="7" t="s">
        <v>930</v>
      </c>
      <c r="C351" s="7" t="s">
        <v>743</v>
      </c>
      <c r="D351" t="s">
        <v>744</v>
      </c>
    </row>
    <row r="352" spans="1:4" x14ac:dyDescent="0.3">
      <c r="A352" s="97">
        <v>41016</v>
      </c>
      <c r="B352" s="7" t="s">
        <v>931</v>
      </c>
      <c r="C352" s="7" t="s">
        <v>743</v>
      </c>
      <c r="D352" t="s">
        <v>744</v>
      </c>
    </row>
    <row r="353" spans="1:4" x14ac:dyDescent="0.3">
      <c r="A353" s="97">
        <v>41016</v>
      </c>
      <c r="B353" s="7" t="s">
        <v>932</v>
      </c>
      <c r="C353" s="7" t="s">
        <v>743</v>
      </c>
      <c r="D353" t="s">
        <v>744</v>
      </c>
    </row>
    <row r="354" spans="1:4" x14ac:dyDescent="0.3">
      <c r="A354" s="97">
        <v>41016</v>
      </c>
      <c r="B354" s="7" t="s">
        <v>933</v>
      </c>
      <c r="C354" s="7" t="s">
        <v>743</v>
      </c>
      <c r="D354" t="s">
        <v>744</v>
      </c>
    </row>
    <row r="355" spans="1:4" x14ac:dyDescent="0.3">
      <c r="A355" s="97">
        <v>41016</v>
      </c>
      <c r="B355" s="7" t="s">
        <v>934</v>
      </c>
      <c r="C355" s="7" t="s">
        <v>743</v>
      </c>
      <c r="D355" t="s">
        <v>744</v>
      </c>
    </row>
    <row r="356" spans="1:4" x14ac:dyDescent="0.3">
      <c r="A356" s="97">
        <v>41016</v>
      </c>
      <c r="B356" s="7" t="s">
        <v>935</v>
      </c>
      <c r="C356" s="7" t="s">
        <v>743</v>
      </c>
      <c r="D356" t="s">
        <v>744</v>
      </c>
    </row>
    <row r="357" spans="1:4" x14ac:dyDescent="0.3">
      <c r="A357" s="97">
        <v>41016</v>
      </c>
      <c r="B357" s="7" t="s">
        <v>180</v>
      </c>
      <c r="C357" s="7" t="s">
        <v>743</v>
      </c>
      <c r="D357" t="s">
        <v>744</v>
      </c>
    </row>
    <row r="358" spans="1:4" x14ac:dyDescent="0.3">
      <c r="A358" s="97">
        <v>41016</v>
      </c>
      <c r="B358" s="7" t="s">
        <v>936</v>
      </c>
      <c r="C358" s="7" t="s">
        <v>743</v>
      </c>
      <c r="D358" t="s">
        <v>744</v>
      </c>
    </row>
    <row r="359" spans="1:4" x14ac:dyDescent="0.3">
      <c r="A359" s="97">
        <v>41016</v>
      </c>
      <c r="B359" s="7" t="s">
        <v>937</v>
      </c>
      <c r="C359" s="7" t="s">
        <v>743</v>
      </c>
      <c r="D359" t="s">
        <v>744</v>
      </c>
    </row>
    <row r="360" spans="1:4" x14ac:dyDescent="0.3">
      <c r="A360" s="97">
        <v>41016</v>
      </c>
      <c r="B360" s="7" t="s">
        <v>938</v>
      </c>
      <c r="C360" s="7" t="s">
        <v>743</v>
      </c>
      <c r="D360" t="s">
        <v>744</v>
      </c>
    </row>
    <row r="361" spans="1:4" x14ac:dyDescent="0.3">
      <c r="A361" s="97">
        <v>41016</v>
      </c>
      <c r="B361" s="7" t="s">
        <v>939</v>
      </c>
      <c r="C361" s="7" t="s">
        <v>743</v>
      </c>
      <c r="D361" t="s">
        <v>744</v>
      </c>
    </row>
    <row r="362" spans="1:4" x14ac:dyDescent="0.3">
      <c r="A362" s="97">
        <v>41016</v>
      </c>
      <c r="B362" s="7" t="s">
        <v>183</v>
      </c>
      <c r="C362" s="7" t="s">
        <v>743</v>
      </c>
      <c r="D362" t="s">
        <v>744</v>
      </c>
    </row>
    <row r="363" spans="1:4" x14ac:dyDescent="0.3">
      <c r="A363" s="97">
        <v>41016</v>
      </c>
      <c r="B363" s="7" t="s">
        <v>940</v>
      </c>
      <c r="C363" s="7" t="s">
        <v>743</v>
      </c>
      <c r="D363" t="s">
        <v>744</v>
      </c>
    </row>
    <row r="364" spans="1:4" x14ac:dyDescent="0.3">
      <c r="A364" s="97">
        <v>41016</v>
      </c>
      <c r="B364" s="7" t="s">
        <v>941</v>
      </c>
      <c r="C364" s="7" t="s">
        <v>743</v>
      </c>
      <c r="D364" t="s">
        <v>744</v>
      </c>
    </row>
    <row r="365" spans="1:4" x14ac:dyDescent="0.3">
      <c r="A365" s="97">
        <v>41016</v>
      </c>
      <c r="B365" s="7" t="s">
        <v>942</v>
      </c>
      <c r="C365" s="7" t="s">
        <v>743</v>
      </c>
      <c r="D365" t="s">
        <v>744</v>
      </c>
    </row>
    <row r="366" spans="1:4" x14ac:dyDescent="0.3">
      <c r="A366" s="97">
        <v>41016</v>
      </c>
      <c r="B366" s="7" t="s">
        <v>943</v>
      </c>
      <c r="C366" s="7" t="s">
        <v>743</v>
      </c>
      <c r="D366" t="s">
        <v>744</v>
      </c>
    </row>
    <row r="367" spans="1:4" x14ac:dyDescent="0.3">
      <c r="A367" s="97">
        <v>41016</v>
      </c>
      <c r="B367" s="7" t="s">
        <v>944</v>
      </c>
      <c r="C367" s="7" t="s">
        <v>743</v>
      </c>
      <c r="D367" t="s">
        <v>744</v>
      </c>
    </row>
    <row r="368" spans="1:4" x14ac:dyDescent="0.3">
      <c r="A368" s="97">
        <v>41016</v>
      </c>
      <c r="B368" s="7" t="s">
        <v>945</v>
      </c>
      <c r="C368" s="7" t="s">
        <v>743</v>
      </c>
      <c r="D368" t="s">
        <v>744</v>
      </c>
    </row>
    <row r="369" spans="1:4" x14ac:dyDescent="0.3">
      <c r="A369" s="97">
        <v>41016</v>
      </c>
      <c r="B369" s="7" t="s">
        <v>946</v>
      </c>
      <c r="C369" s="7" t="s">
        <v>743</v>
      </c>
      <c r="D369" t="s">
        <v>744</v>
      </c>
    </row>
    <row r="370" spans="1:4" x14ac:dyDescent="0.3">
      <c r="A370" s="97">
        <v>41016</v>
      </c>
      <c r="B370" s="7" t="s">
        <v>947</v>
      </c>
      <c r="C370" s="7" t="s">
        <v>743</v>
      </c>
      <c r="D370" t="s">
        <v>744</v>
      </c>
    </row>
    <row r="371" spans="1:4" x14ac:dyDescent="0.3">
      <c r="A371" s="97">
        <v>41016</v>
      </c>
      <c r="B371" s="7" t="s">
        <v>948</v>
      </c>
      <c r="C371" s="7" t="s">
        <v>743</v>
      </c>
      <c r="D371" t="s">
        <v>744</v>
      </c>
    </row>
    <row r="372" spans="1:4" x14ac:dyDescent="0.3">
      <c r="A372" s="97">
        <v>41016</v>
      </c>
      <c r="B372" s="7" t="s">
        <v>949</v>
      </c>
      <c r="C372" s="7" t="s">
        <v>743</v>
      </c>
      <c r="D372" t="s">
        <v>744</v>
      </c>
    </row>
    <row r="373" spans="1:4" x14ac:dyDescent="0.3">
      <c r="A373" s="97">
        <v>41016</v>
      </c>
      <c r="B373" s="7" t="s">
        <v>950</v>
      </c>
      <c r="C373" s="7" t="s">
        <v>743</v>
      </c>
      <c r="D373" t="s">
        <v>744</v>
      </c>
    </row>
    <row r="374" spans="1:4" x14ac:dyDescent="0.3">
      <c r="A374" s="97">
        <v>41016</v>
      </c>
      <c r="B374" s="7" t="s">
        <v>951</v>
      </c>
      <c r="C374" s="7" t="s">
        <v>743</v>
      </c>
      <c r="D374" t="s">
        <v>744</v>
      </c>
    </row>
    <row r="375" spans="1:4" x14ac:dyDescent="0.3">
      <c r="A375" s="97">
        <v>41016</v>
      </c>
      <c r="B375" s="7" t="s">
        <v>952</v>
      </c>
      <c r="C375" s="7" t="s">
        <v>743</v>
      </c>
      <c r="D375" t="s">
        <v>744</v>
      </c>
    </row>
    <row r="376" spans="1:4" x14ac:dyDescent="0.3">
      <c r="A376" s="97">
        <v>41016</v>
      </c>
      <c r="B376" s="7" t="s">
        <v>953</v>
      </c>
      <c r="C376" s="7" t="s">
        <v>743</v>
      </c>
      <c r="D376" t="s">
        <v>744</v>
      </c>
    </row>
    <row r="377" spans="1:4" x14ac:dyDescent="0.3">
      <c r="A377" s="97">
        <v>41016</v>
      </c>
      <c r="B377" s="7" t="s">
        <v>954</v>
      </c>
      <c r="C377" s="7" t="s">
        <v>743</v>
      </c>
      <c r="D377" t="s">
        <v>744</v>
      </c>
    </row>
    <row r="378" spans="1:4" x14ac:dyDescent="0.3">
      <c r="A378" s="97">
        <v>41016</v>
      </c>
      <c r="B378" s="7" t="s">
        <v>955</v>
      </c>
      <c r="C378" s="7" t="s">
        <v>743</v>
      </c>
      <c r="D378" t="s">
        <v>744</v>
      </c>
    </row>
    <row r="379" spans="1:4" x14ac:dyDescent="0.3">
      <c r="A379" s="97">
        <v>41016</v>
      </c>
      <c r="B379" s="7" t="s">
        <v>956</v>
      </c>
      <c r="C379" s="7" t="s">
        <v>743</v>
      </c>
      <c r="D379" t="s">
        <v>744</v>
      </c>
    </row>
    <row r="380" spans="1:4" x14ac:dyDescent="0.3">
      <c r="A380" s="97">
        <v>41016</v>
      </c>
      <c r="B380" s="7" t="s">
        <v>957</v>
      </c>
      <c r="C380" s="7" t="s">
        <v>743</v>
      </c>
      <c r="D380" t="s">
        <v>744</v>
      </c>
    </row>
    <row r="381" spans="1:4" x14ac:dyDescent="0.3">
      <c r="A381" s="97">
        <v>41016</v>
      </c>
      <c r="B381" t="s">
        <v>958</v>
      </c>
      <c r="C381" s="7" t="s">
        <v>959</v>
      </c>
      <c r="D381" t="s">
        <v>960</v>
      </c>
    </row>
    <row r="382" spans="1:4" x14ac:dyDescent="0.3">
      <c r="A382" s="97">
        <v>41016</v>
      </c>
      <c r="B382" t="s">
        <v>395</v>
      </c>
      <c r="C382" s="7" t="s">
        <v>398</v>
      </c>
      <c r="D382" t="s">
        <v>960</v>
      </c>
    </row>
    <row r="383" spans="1:4" x14ac:dyDescent="0.3">
      <c r="A383" s="97">
        <v>41016</v>
      </c>
      <c r="B383" t="s">
        <v>400</v>
      </c>
      <c r="C383" s="7" t="s">
        <v>398</v>
      </c>
      <c r="D383" t="s">
        <v>960</v>
      </c>
    </row>
    <row r="384" spans="1:4" x14ac:dyDescent="0.3">
      <c r="A384" s="97">
        <v>41016</v>
      </c>
      <c r="B384" t="s">
        <v>403</v>
      </c>
      <c r="C384" s="7" t="s">
        <v>398</v>
      </c>
      <c r="D384" t="s">
        <v>960</v>
      </c>
    </row>
    <row r="385" spans="1:4" x14ac:dyDescent="0.3">
      <c r="A385" s="97">
        <v>41016</v>
      </c>
      <c r="B385" s="7" t="s">
        <v>961</v>
      </c>
      <c r="C385" s="7" t="s">
        <v>743</v>
      </c>
      <c r="D385" t="s">
        <v>744</v>
      </c>
    </row>
    <row r="386" spans="1:4" x14ac:dyDescent="0.3">
      <c r="A386" s="97">
        <v>41016</v>
      </c>
      <c r="B386" s="7" t="s">
        <v>325</v>
      </c>
      <c r="C386" t="s">
        <v>962</v>
      </c>
      <c r="D386" t="s">
        <v>963</v>
      </c>
    </row>
    <row r="387" spans="1:4" x14ac:dyDescent="0.3">
      <c r="A387" s="97">
        <v>41016</v>
      </c>
      <c r="B387" s="7" t="s">
        <v>964</v>
      </c>
      <c r="C387" t="s">
        <v>70</v>
      </c>
      <c r="D387" t="s">
        <v>965</v>
      </c>
    </row>
    <row r="388" spans="1:4" x14ac:dyDescent="0.3">
      <c r="A388" s="97">
        <v>41016</v>
      </c>
      <c r="B388" s="7" t="s">
        <v>655</v>
      </c>
      <c r="C388" s="7" t="s">
        <v>966</v>
      </c>
      <c r="D388" t="s">
        <v>967</v>
      </c>
    </row>
    <row r="389" spans="1:4" x14ac:dyDescent="0.3">
      <c r="A389" s="97">
        <v>41016</v>
      </c>
      <c r="B389" s="7" t="s">
        <v>658</v>
      </c>
      <c r="C389" s="7" t="s">
        <v>966</v>
      </c>
      <c r="D389" t="s">
        <v>967</v>
      </c>
    </row>
    <row r="390" spans="1:4" x14ac:dyDescent="0.3">
      <c r="A390" s="97">
        <v>41016</v>
      </c>
      <c r="B390" s="7" t="s">
        <v>661</v>
      </c>
      <c r="C390" s="7" t="s">
        <v>966</v>
      </c>
      <c r="D390" t="s">
        <v>967</v>
      </c>
    </row>
    <row r="391" spans="1:4" x14ac:dyDescent="0.3">
      <c r="A391" s="97">
        <v>41016</v>
      </c>
      <c r="B391" s="7" t="s">
        <v>339</v>
      </c>
      <c r="C391" t="s">
        <v>968</v>
      </c>
      <c r="D391" t="s">
        <v>340</v>
      </c>
    </row>
    <row r="392" spans="1:4" x14ac:dyDescent="0.3">
      <c r="A392" s="97">
        <v>41016</v>
      </c>
      <c r="B392" s="7" t="s">
        <v>342</v>
      </c>
      <c r="C392" t="s">
        <v>969</v>
      </c>
      <c r="D392" t="s">
        <v>340</v>
      </c>
    </row>
    <row r="393" spans="1:4" x14ac:dyDescent="0.3">
      <c r="A393" s="97">
        <v>41016</v>
      </c>
      <c r="B393" s="7" t="s">
        <v>343</v>
      </c>
      <c r="C393" t="s">
        <v>968</v>
      </c>
      <c r="D393" t="s">
        <v>340</v>
      </c>
    </row>
    <row r="394" spans="1:4" x14ac:dyDescent="0.3">
      <c r="A394" s="97">
        <v>41016</v>
      </c>
      <c r="B394" s="7" t="s">
        <v>344</v>
      </c>
      <c r="C394" t="s">
        <v>968</v>
      </c>
      <c r="D394" t="s">
        <v>340</v>
      </c>
    </row>
    <row r="395" spans="1:4" x14ac:dyDescent="0.3">
      <c r="A395" s="97">
        <v>41016</v>
      </c>
      <c r="B395" s="7" t="s">
        <v>345</v>
      </c>
      <c r="C395" t="s">
        <v>968</v>
      </c>
      <c r="D395" t="s">
        <v>340</v>
      </c>
    </row>
    <row r="396" spans="1:4" x14ac:dyDescent="0.3">
      <c r="A396" s="97">
        <v>41016</v>
      </c>
      <c r="B396" s="7" t="s">
        <v>346</v>
      </c>
      <c r="C396" t="s">
        <v>968</v>
      </c>
      <c r="D396" t="s">
        <v>340</v>
      </c>
    </row>
    <row r="397" spans="1:4" x14ac:dyDescent="0.3">
      <c r="A397" s="97">
        <v>41016</v>
      </c>
      <c r="B397" s="7" t="s">
        <v>347</v>
      </c>
      <c r="C397" t="s">
        <v>968</v>
      </c>
      <c r="D397" t="s">
        <v>340</v>
      </c>
    </row>
    <row r="398" spans="1:4" x14ac:dyDescent="0.3">
      <c r="A398" s="97">
        <v>41016</v>
      </c>
      <c r="B398" s="7" t="s">
        <v>348</v>
      </c>
      <c r="C398" t="s">
        <v>968</v>
      </c>
      <c r="D398" t="s">
        <v>340</v>
      </c>
    </row>
    <row r="399" spans="1:4" x14ac:dyDescent="0.3">
      <c r="A399" s="97">
        <v>41016</v>
      </c>
      <c r="B399" s="7" t="s">
        <v>349</v>
      </c>
      <c r="C399" t="s">
        <v>968</v>
      </c>
      <c r="D399" t="s">
        <v>340</v>
      </c>
    </row>
    <row r="400" spans="1:4" x14ac:dyDescent="0.3">
      <c r="A400" s="97">
        <v>41016</v>
      </c>
      <c r="B400" s="7" t="s">
        <v>350</v>
      </c>
      <c r="C400" t="s">
        <v>968</v>
      </c>
      <c r="D400" t="s">
        <v>340</v>
      </c>
    </row>
    <row r="401" spans="1:4" x14ac:dyDescent="0.3">
      <c r="A401" s="97">
        <v>41016</v>
      </c>
      <c r="B401" s="7" t="s">
        <v>970</v>
      </c>
      <c r="C401" t="s">
        <v>971</v>
      </c>
      <c r="D401" t="s">
        <v>972</v>
      </c>
    </row>
    <row r="402" spans="1:4" x14ac:dyDescent="0.3">
      <c r="A402" s="97">
        <v>41016</v>
      </c>
      <c r="B402" s="7" t="s">
        <v>973</v>
      </c>
      <c r="C402" t="s">
        <v>971</v>
      </c>
      <c r="D402" t="s">
        <v>972</v>
      </c>
    </row>
    <row r="403" spans="1:4" x14ac:dyDescent="0.3">
      <c r="A403" s="97">
        <v>41016</v>
      </c>
      <c r="B403" s="7" t="s">
        <v>974</v>
      </c>
      <c r="C403" t="s">
        <v>971</v>
      </c>
      <c r="D403" t="s">
        <v>972</v>
      </c>
    </row>
    <row r="404" spans="1:4" x14ac:dyDescent="0.3">
      <c r="A404" s="97">
        <v>41016</v>
      </c>
      <c r="B404" s="7" t="s">
        <v>975</v>
      </c>
      <c r="C404" t="s">
        <v>971</v>
      </c>
      <c r="D404" t="s">
        <v>972</v>
      </c>
    </row>
    <row r="405" spans="1:4" x14ac:dyDescent="0.3">
      <c r="A405" s="97">
        <v>41016</v>
      </c>
      <c r="B405" s="7" t="s">
        <v>976</v>
      </c>
      <c r="C405" t="s">
        <v>971</v>
      </c>
      <c r="D405" t="s">
        <v>972</v>
      </c>
    </row>
    <row r="406" spans="1:4" x14ac:dyDescent="0.3">
      <c r="A406" s="97">
        <v>41016</v>
      </c>
      <c r="B406" s="7" t="s">
        <v>977</v>
      </c>
      <c r="C406" t="s">
        <v>971</v>
      </c>
      <c r="D406" t="s">
        <v>972</v>
      </c>
    </row>
    <row r="407" spans="1:4" x14ac:dyDescent="0.3">
      <c r="A407" s="97">
        <v>41016</v>
      </c>
      <c r="B407" s="7" t="s">
        <v>978</v>
      </c>
      <c r="C407" t="s">
        <v>971</v>
      </c>
      <c r="D407" t="s">
        <v>972</v>
      </c>
    </row>
    <row r="408" spans="1:4" x14ac:dyDescent="0.3">
      <c r="A408" s="97">
        <v>41016</v>
      </c>
      <c r="B408" s="7" t="s">
        <v>979</v>
      </c>
      <c r="C408" t="s">
        <v>971</v>
      </c>
      <c r="D408" t="s">
        <v>972</v>
      </c>
    </row>
    <row r="409" spans="1:4" x14ac:dyDescent="0.3">
      <c r="A409" s="97">
        <v>41016</v>
      </c>
      <c r="B409" s="7" t="s">
        <v>980</v>
      </c>
      <c r="C409" t="s">
        <v>971</v>
      </c>
      <c r="D409" t="s">
        <v>972</v>
      </c>
    </row>
    <row r="410" spans="1:4" x14ac:dyDescent="0.3">
      <c r="A410" s="97">
        <v>41016</v>
      </c>
      <c r="B410" s="7" t="s">
        <v>981</v>
      </c>
      <c r="C410" t="s">
        <v>971</v>
      </c>
      <c r="D410" t="s">
        <v>972</v>
      </c>
    </row>
    <row r="411" spans="1:4" x14ac:dyDescent="0.3">
      <c r="A411" s="97">
        <v>41016</v>
      </c>
      <c r="B411" s="7" t="s">
        <v>982</v>
      </c>
      <c r="C411" t="s">
        <v>971</v>
      </c>
      <c r="D411" t="s">
        <v>972</v>
      </c>
    </row>
    <row r="412" spans="1:4" x14ac:dyDescent="0.3">
      <c r="A412" s="97">
        <v>41016</v>
      </c>
      <c r="B412" s="7" t="s">
        <v>983</v>
      </c>
      <c r="C412" t="s">
        <v>971</v>
      </c>
      <c r="D412" t="s">
        <v>972</v>
      </c>
    </row>
    <row r="413" spans="1:4" x14ac:dyDescent="0.3">
      <c r="A413" s="97">
        <v>41016</v>
      </c>
      <c r="B413" s="7" t="s">
        <v>298</v>
      </c>
      <c r="C413" t="s">
        <v>984</v>
      </c>
      <c r="D413" t="s">
        <v>985</v>
      </c>
    </row>
    <row r="414" spans="1:4" x14ac:dyDescent="0.3">
      <c r="A414" s="97">
        <v>41016</v>
      </c>
      <c r="B414" t="s">
        <v>986</v>
      </c>
      <c r="C414" t="s">
        <v>987</v>
      </c>
      <c r="D414" t="s">
        <v>988</v>
      </c>
    </row>
    <row r="415" spans="1:4" x14ac:dyDescent="0.3">
      <c r="A415" s="97">
        <v>41016</v>
      </c>
      <c r="B415" t="s">
        <v>989</v>
      </c>
      <c r="C415" t="s">
        <v>987</v>
      </c>
      <c r="D415" t="s">
        <v>988</v>
      </c>
    </row>
    <row r="416" spans="1:4" x14ac:dyDescent="0.3">
      <c r="A416" s="97">
        <v>41016</v>
      </c>
      <c r="B416" t="s">
        <v>990</v>
      </c>
      <c r="C416" t="s">
        <v>991</v>
      </c>
      <c r="D416" t="s">
        <v>992</v>
      </c>
    </row>
    <row r="417" spans="1:4" x14ac:dyDescent="0.3">
      <c r="A417" s="97">
        <v>41016</v>
      </c>
      <c r="B417" t="s">
        <v>993</v>
      </c>
      <c r="C417" t="s">
        <v>991</v>
      </c>
      <c r="D417" t="s">
        <v>992</v>
      </c>
    </row>
    <row r="418" spans="1:4" x14ac:dyDescent="0.3">
      <c r="A418" s="97">
        <v>41016</v>
      </c>
      <c r="B418" t="s">
        <v>994</v>
      </c>
      <c r="C418" t="s">
        <v>995</v>
      </c>
      <c r="D418" t="s">
        <v>992</v>
      </c>
    </row>
    <row r="419" spans="1:4" x14ac:dyDescent="0.3">
      <c r="A419" s="97">
        <v>41016</v>
      </c>
      <c r="B419" s="7" t="s">
        <v>996</v>
      </c>
      <c r="C419" t="s">
        <v>997</v>
      </c>
      <c r="D419" t="s">
        <v>998</v>
      </c>
    </row>
    <row r="420" spans="1:4" x14ac:dyDescent="0.3">
      <c r="A420" s="97">
        <v>41016</v>
      </c>
      <c r="B420" s="7" t="s">
        <v>999</v>
      </c>
      <c r="C420" t="s">
        <v>995</v>
      </c>
      <c r="D420" t="s">
        <v>992</v>
      </c>
    </row>
    <row r="421" spans="1:4" x14ac:dyDescent="0.3">
      <c r="A421" s="97">
        <v>41016</v>
      </c>
      <c r="B421" s="7" t="s">
        <v>1000</v>
      </c>
      <c r="C421" t="s">
        <v>1001</v>
      </c>
      <c r="D421" t="s">
        <v>992</v>
      </c>
    </row>
    <row r="422" spans="1:4" x14ac:dyDescent="0.3">
      <c r="A422" s="97">
        <v>41016</v>
      </c>
      <c r="B422" s="7" t="s">
        <v>1002</v>
      </c>
      <c r="C422" t="s">
        <v>1003</v>
      </c>
      <c r="D422" t="s">
        <v>1004</v>
      </c>
    </row>
    <row r="423" spans="1:4" x14ac:dyDescent="0.3">
      <c r="A423" s="97">
        <v>41016</v>
      </c>
      <c r="B423" t="s">
        <v>1005</v>
      </c>
      <c r="C423" t="s">
        <v>1003</v>
      </c>
      <c r="D423" t="s">
        <v>1004</v>
      </c>
    </row>
    <row r="424" spans="1:4" x14ac:dyDescent="0.3">
      <c r="A424" s="97">
        <v>41016</v>
      </c>
      <c r="B424" t="s">
        <v>1006</v>
      </c>
      <c r="C424" t="s">
        <v>369</v>
      </c>
      <c r="D424" t="s">
        <v>1007</v>
      </c>
    </row>
    <row r="425" spans="1:4" x14ac:dyDescent="0.3">
      <c r="A425" s="97">
        <v>41016</v>
      </c>
      <c r="B425" s="11" t="s">
        <v>304</v>
      </c>
      <c r="C425" t="s">
        <v>369</v>
      </c>
      <c r="D425" t="s">
        <v>1007</v>
      </c>
    </row>
    <row r="426" spans="1:4" x14ac:dyDescent="0.3">
      <c r="A426" s="97">
        <v>41016</v>
      </c>
      <c r="B426" t="s">
        <v>676</v>
      </c>
      <c r="C426" t="s">
        <v>369</v>
      </c>
      <c r="D426" t="s">
        <v>1007</v>
      </c>
    </row>
    <row r="427" spans="1:4" x14ac:dyDescent="0.3">
      <c r="A427" s="97">
        <v>41016</v>
      </c>
      <c r="B427" s="7" t="s">
        <v>1008</v>
      </c>
      <c r="C427" t="s">
        <v>1009</v>
      </c>
      <c r="D427" t="s">
        <v>1010</v>
      </c>
    </row>
    <row r="428" spans="1:4" x14ac:dyDescent="0.3">
      <c r="A428" s="97">
        <v>41016</v>
      </c>
      <c r="B428" s="7" t="s">
        <v>1011</v>
      </c>
      <c r="C428" t="s">
        <v>1012</v>
      </c>
      <c r="D428" t="s">
        <v>992</v>
      </c>
    </row>
    <row r="429" spans="1:4" x14ac:dyDescent="0.3">
      <c r="A429" s="97">
        <v>41016</v>
      </c>
      <c r="B429" s="7" t="s">
        <v>679</v>
      </c>
      <c r="C429" t="s">
        <v>1003</v>
      </c>
      <c r="D429" t="s">
        <v>1007</v>
      </c>
    </row>
    <row r="430" spans="1:4" x14ac:dyDescent="0.3">
      <c r="A430" s="97">
        <v>41016</v>
      </c>
      <c r="B430" s="7" t="s">
        <v>1013</v>
      </c>
      <c r="C430" t="s">
        <v>1014</v>
      </c>
      <c r="D430" t="s">
        <v>1015</v>
      </c>
    </row>
    <row r="431" spans="1:4" x14ac:dyDescent="0.3">
      <c r="A431" s="97">
        <v>41016</v>
      </c>
      <c r="B431" s="7" t="s">
        <v>1016</v>
      </c>
      <c r="C431" t="s">
        <v>1014</v>
      </c>
      <c r="D431" t="s">
        <v>1015</v>
      </c>
    </row>
    <row r="433" spans="1:4" x14ac:dyDescent="0.3">
      <c r="A433" s="99" t="s">
        <v>3836</v>
      </c>
      <c r="B433" s="5" t="s">
        <v>1017</v>
      </c>
      <c r="C433" s="5" t="s">
        <v>374</v>
      </c>
      <c r="D433" s="5" t="s">
        <v>375</v>
      </c>
    </row>
    <row r="434" spans="1:4" x14ac:dyDescent="0.3">
      <c r="A434" s="97">
        <v>41016</v>
      </c>
      <c r="B434" s="7" t="s">
        <v>1018</v>
      </c>
      <c r="C434" s="7" t="s">
        <v>1019</v>
      </c>
      <c r="D434" s="7" t="s">
        <v>456</v>
      </c>
    </row>
    <row r="435" spans="1:4" x14ac:dyDescent="0.3">
      <c r="A435" s="97">
        <v>41016</v>
      </c>
      <c r="B435" s="7" t="s">
        <v>1020</v>
      </c>
      <c r="C435" s="7" t="s">
        <v>1019</v>
      </c>
      <c r="D435" s="7" t="s">
        <v>456</v>
      </c>
    </row>
    <row r="436" spans="1:4" x14ac:dyDescent="0.3">
      <c r="A436" s="97">
        <v>41016</v>
      </c>
      <c r="B436" s="7" t="s">
        <v>1021</v>
      </c>
      <c r="C436" s="7" t="s">
        <v>1019</v>
      </c>
      <c r="D436" s="7" t="s">
        <v>456</v>
      </c>
    </row>
    <row r="437" spans="1:4" x14ac:dyDescent="0.3">
      <c r="A437" s="97">
        <v>41016</v>
      </c>
      <c r="B437" s="7" t="s">
        <v>452</v>
      </c>
      <c r="C437" s="7" t="s">
        <v>1019</v>
      </c>
      <c r="D437" s="7" t="s">
        <v>456</v>
      </c>
    </row>
    <row r="438" spans="1:4" x14ac:dyDescent="0.3">
      <c r="A438" s="97">
        <v>41016</v>
      </c>
      <c r="B438" s="7" t="s">
        <v>1022</v>
      </c>
      <c r="C438" s="7" t="s">
        <v>1019</v>
      </c>
      <c r="D438" s="7" t="s">
        <v>456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F5EA5-C05F-4E8C-B80A-0C9AE4C4B203}">
  <dimension ref="A1:IV280"/>
  <sheetViews>
    <sheetView workbookViewId="0"/>
  </sheetViews>
  <sheetFormatPr defaultColWidth="9.109375" defaultRowHeight="14.4" x14ac:dyDescent="0.3"/>
  <cols>
    <col min="1" max="1" width="11.6640625" style="116" customWidth="1"/>
    <col min="2" max="2" width="25" style="11" bestFit="1" customWidth="1"/>
    <col min="3" max="3" width="108.6640625" style="11" customWidth="1"/>
    <col min="4" max="4" width="38.109375" style="10" customWidth="1"/>
    <col min="5" max="5" width="23.44140625" style="10" customWidth="1"/>
    <col min="6" max="6" width="25" style="10" customWidth="1"/>
    <col min="7" max="16384" width="9.109375" style="10"/>
  </cols>
  <sheetData>
    <row r="1" spans="1:6" x14ac:dyDescent="0.3">
      <c r="A1" s="15" t="s">
        <v>3836</v>
      </c>
      <c r="B1" s="6" t="s">
        <v>1023</v>
      </c>
      <c r="C1" s="15" t="s">
        <v>28</v>
      </c>
      <c r="D1" s="6" t="s">
        <v>29</v>
      </c>
      <c r="E1" s="15" t="s">
        <v>30</v>
      </c>
      <c r="F1" s="15" t="s">
        <v>31</v>
      </c>
    </row>
    <row r="2" spans="1:6" s="11" customFormat="1" x14ac:dyDescent="0.3">
      <c r="A2" s="97">
        <v>40648</v>
      </c>
      <c r="B2" s="11" t="s">
        <v>1024</v>
      </c>
      <c r="C2" s="11" t="s">
        <v>1025</v>
      </c>
      <c r="D2" s="11" t="s">
        <v>1026</v>
      </c>
      <c r="E2" s="11" t="s">
        <v>1027</v>
      </c>
      <c r="F2" s="11" t="s">
        <v>1028</v>
      </c>
    </row>
    <row r="3" spans="1:6" s="11" customFormat="1" x14ac:dyDescent="0.3">
      <c r="A3" s="97">
        <v>40648</v>
      </c>
      <c r="B3" s="18" t="s">
        <v>1572</v>
      </c>
      <c r="C3" s="11" t="s">
        <v>1573</v>
      </c>
      <c r="D3" s="11" t="s">
        <v>1574</v>
      </c>
      <c r="E3" s="11" t="s">
        <v>1273</v>
      </c>
      <c r="F3" s="11" t="s">
        <v>1274</v>
      </c>
    </row>
    <row r="4" spans="1:6" s="11" customFormat="1" x14ac:dyDescent="0.3">
      <c r="A4" s="97">
        <v>40648</v>
      </c>
      <c r="B4" s="18" t="s">
        <v>126</v>
      </c>
      <c r="C4" s="11" t="s">
        <v>127</v>
      </c>
      <c r="D4" s="11" t="s">
        <v>227</v>
      </c>
      <c r="E4" s="11" t="s">
        <v>35</v>
      </c>
      <c r="F4" s="11" t="s">
        <v>1575</v>
      </c>
    </row>
    <row r="5" spans="1:6" s="11" customFormat="1" x14ac:dyDescent="0.3">
      <c r="A5" s="97">
        <v>40648</v>
      </c>
      <c r="B5" s="18" t="s">
        <v>103</v>
      </c>
      <c r="C5" s="11" t="s">
        <v>104</v>
      </c>
      <c r="D5" s="11" t="s">
        <v>247</v>
      </c>
      <c r="E5" s="11" t="s">
        <v>35</v>
      </c>
      <c r="F5" s="11" t="s">
        <v>36</v>
      </c>
    </row>
    <row r="6" spans="1:6" s="11" customFormat="1" x14ac:dyDescent="0.3">
      <c r="A6" s="97">
        <v>40648</v>
      </c>
      <c r="B6" s="18" t="s">
        <v>105</v>
      </c>
      <c r="C6" s="11" t="s">
        <v>106</v>
      </c>
      <c r="D6" s="11" t="s">
        <v>249</v>
      </c>
      <c r="E6" s="11" t="s">
        <v>1576</v>
      </c>
      <c r="F6" s="11" t="s">
        <v>36</v>
      </c>
    </row>
    <row r="7" spans="1:6" s="11" customFormat="1" x14ac:dyDescent="0.3">
      <c r="A7" s="97">
        <v>40648</v>
      </c>
      <c r="B7" s="18" t="s">
        <v>1577</v>
      </c>
      <c r="C7" s="11" t="s">
        <v>1578</v>
      </c>
      <c r="D7" s="11" t="s">
        <v>1029</v>
      </c>
      <c r="E7" s="11" t="s">
        <v>1560</v>
      </c>
      <c r="F7" s="11" t="s">
        <v>1561</v>
      </c>
    </row>
    <row r="8" spans="1:6" s="11" customFormat="1" x14ac:dyDescent="0.3">
      <c r="A8" s="97">
        <v>40648</v>
      </c>
      <c r="B8" s="18" t="s">
        <v>1579</v>
      </c>
      <c r="C8" s="11" t="s">
        <v>1580</v>
      </c>
      <c r="D8" s="11" t="s">
        <v>1029</v>
      </c>
      <c r="E8" s="11" t="s">
        <v>1560</v>
      </c>
      <c r="F8" s="11" t="s">
        <v>1561</v>
      </c>
    </row>
    <row r="9" spans="1:6" s="11" customFormat="1" x14ac:dyDescent="0.3">
      <c r="A9" s="97">
        <v>40648</v>
      </c>
      <c r="B9" s="18" t="s">
        <v>1581</v>
      </c>
      <c r="C9" s="11" t="s">
        <v>1582</v>
      </c>
      <c r="D9" s="11" t="s">
        <v>1029</v>
      </c>
      <c r="E9" s="11" t="s">
        <v>1560</v>
      </c>
      <c r="F9" s="11" t="s">
        <v>1561</v>
      </c>
    </row>
    <row r="10" spans="1:6" s="11" customFormat="1" x14ac:dyDescent="0.3">
      <c r="A10" s="97">
        <v>40648</v>
      </c>
      <c r="B10" s="18" t="s">
        <v>1275</v>
      </c>
      <c r="C10" s="11" t="s">
        <v>1276</v>
      </c>
      <c r="D10" s="11" t="s">
        <v>1277</v>
      </c>
      <c r="E10" s="11" t="s">
        <v>1278</v>
      </c>
      <c r="F10" s="11" t="s">
        <v>1034</v>
      </c>
    </row>
    <row r="11" spans="1:6" s="11" customFormat="1" x14ac:dyDescent="0.3">
      <c r="A11" s="97">
        <v>40648</v>
      </c>
      <c r="B11" s="18" t="s">
        <v>1030</v>
      </c>
      <c r="C11" s="11" t="s">
        <v>1031</v>
      </c>
      <c r="D11" s="11" t="s">
        <v>1032</v>
      </c>
      <c r="E11" s="11" t="s">
        <v>1033</v>
      </c>
      <c r="F11" s="11" t="s">
        <v>1034</v>
      </c>
    </row>
    <row r="12" spans="1:6" s="11" customFormat="1" x14ac:dyDescent="0.3">
      <c r="A12" s="97">
        <v>40648</v>
      </c>
      <c r="B12" s="18" t="s">
        <v>1279</v>
      </c>
      <c r="C12" s="11" t="s">
        <v>1280</v>
      </c>
      <c r="D12" s="11" t="s">
        <v>1281</v>
      </c>
      <c r="E12" s="11" t="s">
        <v>1282</v>
      </c>
      <c r="F12" s="11" t="s">
        <v>1034</v>
      </c>
    </row>
    <row r="13" spans="1:6" s="11" customFormat="1" x14ac:dyDescent="0.3">
      <c r="A13" s="97">
        <v>40648</v>
      </c>
      <c r="B13" s="18" t="s">
        <v>1283</v>
      </c>
      <c r="C13" s="11" t="s">
        <v>1284</v>
      </c>
      <c r="D13" s="11" t="s">
        <v>1285</v>
      </c>
      <c r="E13" s="11" t="s">
        <v>1282</v>
      </c>
      <c r="F13" s="11" t="s">
        <v>1034</v>
      </c>
    </row>
    <row r="14" spans="1:6" s="11" customFormat="1" x14ac:dyDescent="0.3">
      <c r="A14" s="97">
        <v>40648</v>
      </c>
      <c r="B14" s="18" t="s">
        <v>1286</v>
      </c>
      <c r="C14" s="11" t="s">
        <v>1287</v>
      </c>
      <c r="D14" s="11" t="s">
        <v>1285</v>
      </c>
      <c r="E14" s="11" t="s">
        <v>1282</v>
      </c>
      <c r="F14" s="11" t="s">
        <v>1034</v>
      </c>
    </row>
    <row r="15" spans="1:6" s="11" customFormat="1" x14ac:dyDescent="0.3">
      <c r="A15" s="97">
        <v>40648</v>
      </c>
      <c r="B15" s="18" t="s">
        <v>1288</v>
      </c>
      <c r="C15" s="11" t="s">
        <v>1289</v>
      </c>
      <c r="D15" s="11" t="s">
        <v>1290</v>
      </c>
      <c r="E15" s="11" t="s">
        <v>1038</v>
      </c>
      <c r="F15" s="11" t="s">
        <v>385</v>
      </c>
    </row>
    <row r="16" spans="1:6" s="11" customFormat="1" x14ac:dyDescent="0.3">
      <c r="A16" s="97">
        <v>40648</v>
      </c>
      <c r="B16" s="18" t="s">
        <v>1291</v>
      </c>
      <c r="C16" s="11" t="s">
        <v>1292</v>
      </c>
      <c r="D16" s="11" t="s">
        <v>1290</v>
      </c>
      <c r="E16" s="11" t="s">
        <v>1038</v>
      </c>
      <c r="F16" s="11" t="s">
        <v>385</v>
      </c>
    </row>
    <row r="17" spans="1:6" s="11" customFormat="1" x14ac:dyDescent="0.3">
      <c r="A17" s="97">
        <v>40648</v>
      </c>
      <c r="B17" s="18" t="s">
        <v>1293</v>
      </c>
      <c r="C17" s="11" t="s">
        <v>1294</v>
      </c>
      <c r="D17" s="11" t="s">
        <v>1295</v>
      </c>
      <c r="E17" s="11" t="s">
        <v>1038</v>
      </c>
      <c r="F17" s="11" t="s">
        <v>385</v>
      </c>
    </row>
    <row r="18" spans="1:6" s="11" customFormat="1" x14ac:dyDescent="0.3">
      <c r="A18" s="97">
        <v>40648</v>
      </c>
      <c r="B18" s="18" t="s">
        <v>1296</v>
      </c>
      <c r="C18" s="11" t="s">
        <v>1297</v>
      </c>
      <c r="D18" s="11" t="s">
        <v>1295</v>
      </c>
      <c r="E18" s="11" t="s">
        <v>1038</v>
      </c>
      <c r="F18" s="11" t="s">
        <v>385</v>
      </c>
    </row>
    <row r="19" spans="1:6" s="11" customFormat="1" x14ac:dyDescent="0.3">
      <c r="A19" s="97">
        <v>40648</v>
      </c>
      <c r="B19" s="18" t="s">
        <v>1298</v>
      </c>
      <c r="C19" s="11" t="s">
        <v>1299</v>
      </c>
      <c r="D19" s="11" t="s">
        <v>1037</v>
      </c>
      <c r="E19" s="11" t="s">
        <v>1038</v>
      </c>
      <c r="F19" s="11" t="s">
        <v>385</v>
      </c>
    </row>
    <row r="20" spans="1:6" s="11" customFormat="1" x14ac:dyDescent="0.3">
      <c r="A20" s="97">
        <v>40648</v>
      </c>
      <c r="B20" s="18" t="s">
        <v>1035</v>
      </c>
      <c r="C20" s="11" t="s">
        <v>1036</v>
      </c>
      <c r="D20" s="11" t="s">
        <v>1037</v>
      </c>
      <c r="E20" s="11" t="s">
        <v>1038</v>
      </c>
      <c r="F20" s="11" t="s">
        <v>385</v>
      </c>
    </row>
    <row r="21" spans="1:6" s="11" customFormat="1" x14ac:dyDescent="0.3">
      <c r="A21" s="97">
        <v>40648</v>
      </c>
      <c r="B21" s="18" t="s">
        <v>1039</v>
      </c>
      <c r="C21" s="11" t="s">
        <v>1040</v>
      </c>
      <c r="D21" s="11" t="s">
        <v>1041</v>
      </c>
      <c r="E21" s="11" t="s">
        <v>1042</v>
      </c>
      <c r="F21" s="11" t="s">
        <v>385</v>
      </c>
    </row>
    <row r="22" spans="1:6" s="11" customFormat="1" x14ac:dyDescent="0.3">
      <c r="A22" s="97">
        <v>40648</v>
      </c>
      <c r="B22" s="18" t="s">
        <v>1043</v>
      </c>
      <c r="C22" s="11" t="s">
        <v>1044</v>
      </c>
      <c r="D22" s="11" t="s">
        <v>1045</v>
      </c>
      <c r="E22" s="11" t="s">
        <v>1042</v>
      </c>
      <c r="F22" s="11" t="s">
        <v>385</v>
      </c>
    </row>
    <row r="23" spans="1:6" s="11" customFormat="1" x14ac:dyDescent="0.3">
      <c r="A23" s="97">
        <v>40648</v>
      </c>
      <c r="B23" s="18" t="s">
        <v>1046</v>
      </c>
      <c r="C23" s="11" t="s">
        <v>1047</v>
      </c>
      <c r="D23" s="11" t="s">
        <v>1048</v>
      </c>
      <c r="E23" s="11" t="s">
        <v>1042</v>
      </c>
      <c r="F23" s="11" t="s">
        <v>385</v>
      </c>
    </row>
    <row r="24" spans="1:6" s="11" customFormat="1" x14ac:dyDescent="0.3">
      <c r="A24" s="97">
        <v>40648</v>
      </c>
      <c r="B24" s="18" t="s">
        <v>1049</v>
      </c>
      <c r="C24" s="11" t="s">
        <v>1050</v>
      </c>
      <c r="D24" s="11" t="s">
        <v>1048</v>
      </c>
      <c r="E24" s="11" t="s">
        <v>1042</v>
      </c>
      <c r="F24" s="11" t="s">
        <v>385</v>
      </c>
    </row>
    <row r="25" spans="1:6" s="11" customFormat="1" x14ac:dyDescent="0.3">
      <c r="A25" s="97">
        <v>40648</v>
      </c>
      <c r="B25" s="18" t="s">
        <v>1051</v>
      </c>
      <c r="C25" s="11" t="s">
        <v>1052</v>
      </c>
      <c r="D25" s="11" t="s">
        <v>1053</v>
      </c>
      <c r="E25" s="11" t="s">
        <v>1042</v>
      </c>
      <c r="F25" s="11" t="s">
        <v>385</v>
      </c>
    </row>
    <row r="26" spans="1:6" s="11" customFormat="1" x14ac:dyDescent="0.3">
      <c r="A26" s="97">
        <v>40648</v>
      </c>
      <c r="B26" s="18" t="s">
        <v>1054</v>
      </c>
      <c r="C26" s="11" t="s">
        <v>1055</v>
      </c>
      <c r="D26" s="11" t="s">
        <v>1056</v>
      </c>
      <c r="E26" s="11" t="s">
        <v>1042</v>
      </c>
      <c r="F26" s="11" t="s">
        <v>385</v>
      </c>
    </row>
    <row r="27" spans="1:6" s="11" customFormat="1" x14ac:dyDescent="0.3">
      <c r="A27" s="97">
        <v>40648</v>
      </c>
      <c r="B27" s="18" t="s">
        <v>1057</v>
      </c>
      <c r="C27" s="11" t="s">
        <v>1058</v>
      </c>
      <c r="D27" s="11" t="s">
        <v>1059</v>
      </c>
      <c r="E27" s="11" t="s">
        <v>1042</v>
      </c>
      <c r="F27" s="11" t="s">
        <v>385</v>
      </c>
    </row>
    <row r="28" spans="1:6" s="11" customFormat="1" x14ac:dyDescent="0.3">
      <c r="A28" s="97">
        <v>40648</v>
      </c>
      <c r="B28" s="18" t="s">
        <v>1060</v>
      </c>
      <c r="C28" s="11" t="s">
        <v>1061</v>
      </c>
      <c r="D28" s="11" t="s">
        <v>1062</v>
      </c>
      <c r="E28" s="11" t="s">
        <v>1042</v>
      </c>
      <c r="F28" s="11" t="s">
        <v>385</v>
      </c>
    </row>
    <row r="29" spans="1:6" s="11" customFormat="1" x14ac:dyDescent="0.3">
      <c r="A29" s="97">
        <v>40648</v>
      </c>
      <c r="B29" s="18" t="s">
        <v>1063</v>
      </c>
      <c r="C29" s="11" t="s">
        <v>1064</v>
      </c>
      <c r="D29" s="11" t="s">
        <v>1065</v>
      </c>
      <c r="E29" s="11" t="s">
        <v>1042</v>
      </c>
      <c r="F29" s="11" t="s">
        <v>385</v>
      </c>
    </row>
    <row r="30" spans="1:6" s="11" customFormat="1" x14ac:dyDescent="0.3">
      <c r="A30" s="97">
        <v>40648</v>
      </c>
      <c r="B30" s="18" t="s">
        <v>1066</v>
      </c>
      <c r="C30" s="11" t="s">
        <v>1067</v>
      </c>
      <c r="D30" s="11" t="s">
        <v>1068</v>
      </c>
      <c r="E30" s="11" t="s">
        <v>1042</v>
      </c>
      <c r="F30" s="11" t="s">
        <v>385</v>
      </c>
    </row>
    <row r="31" spans="1:6" s="11" customFormat="1" x14ac:dyDescent="0.3">
      <c r="A31" s="97">
        <v>40648</v>
      </c>
      <c r="B31" s="18" t="s">
        <v>1300</v>
      </c>
      <c r="C31" s="11" t="s">
        <v>1301</v>
      </c>
      <c r="D31" s="11" t="s">
        <v>1302</v>
      </c>
      <c r="E31" s="11" t="s">
        <v>1303</v>
      </c>
      <c r="F31" s="11" t="s">
        <v>1274</v>
      </c>
    </row>
    <row r="32" spans="1:6" s="11" customFormat="1" x14ac:dyDescent="0.3">
      <c r="A32" s="97">
        <v>40648</v>
      </c>
      <c r="B32" s="18" t="s">
        <v>1304</v>
      </c>
      <c r="C32" s="11" t="s">
        <v>1305</v>
      </c>
      <c r="D32" s="11" t="s">
        <v>1306</v>
      </c>
      <c r="E32" s="11" t="s">
        <v>1307</v>
      </c>
      <c r="F32" s="11" t="s">
        <v>385</v>
      </c>
    </row>
    <row r="33" spans="1:6" s="11" customFormat="1" x14ac:dyDescent="0.3">
      <c r="A33" s="97">
        <v>40648</v>
      </c>
      <c r="B33" s="18" t="s">
        <v>1308</v>
      </c>
      <c r="C33" s="11" t="s">
        <v>1309</v>
      </c>
      <c r="D33" s="11" t="s">
        <v>1310</v>
      </c>
      <c r="E33" s="11" t="s">
        <v>1311</v>
      </c>
      <c r="F33" s="11" t="s">
        <v>1274</v>
      </c>
    </row>
    <row r="34" spans="1:6" s="11" customFormat="1" x14ac:dyDescent="0.3">
      <c r="A34" s="97">
        <v>40648</v>
      </c>
      <c r="B34" s="18" t="s">
        <v>1312</v>
      </c>
      <c r="C34" s="11" t="s">
        <v>1313</v>
      </c>
      <c r="D34" s="11" t="s">
        <v>383</v>
      </c>
      <c r="E34" s="11" t="s">
        <v>384</v>
      </c>
      <c r="F34" s="11" t="s">
        <v>385</v>
      </c>
    </row>
    <row r="35" spans="1:6" s="11" customFormat="1" x14ac:dyDescent="0.3">
      <c r="A35" s="97">
        <v>40648</v>
      </c>
      <c r="B35" s="18" t="s">
        <v>1314</v>
      </c>
      <c r="C35" s="11" t="s">
        <v>1315</v>
      </c>
      <c r="D35" s="11" t="s">
        <v>386</v>
      </c>
      <c r="E35" s="11" t="s">
        <v>384</v>
      </c>
      <c r="F35" s="11" t="s">
        <v>385</v>
      </c>
    </row>
    <row r="36" spans="1:6" s="11" customFormat="1" x14ac:dyDescent="0.3">
      <c r="A36" s="97">
        <v>40648</v>
      </c>
      <c r="B36" s="18" t="s">
        <v>1316</v>
      </c>
      <c r="C36" s="11" t="s">
        <v>1317</v>
      </c>
      <c r="D36" s="11" t="s">
        <v>387</v>
      </c>
      <c r="E36" s="11" t="s">
        <v>384</v>
      </c>
      <c r="F36" s="11" t="s">
        <v>385</v>
      </c>
    </row>
    <row r="37" spans="1:6" s="11" customFormat="1" x14ac:dyDescent="0.3">
      <c r="A37" s="97">
        <v>40648</v>
      </c>
      <c r="B37" s="18" t="s">
        <v>1318</v>
      </c>
      <c r="C37" s="11" t="s">
        <v>1319</v>
      </c>
      <c r="D37" s="11" t="s">
        <v>388</v>
      </c>
      <c r="E37" s="11" t="s">
        <v>384</v>
      </c>
      <c r="F37" s="11" t="s">
        <v>385</v>
      </c>
    </row>
    <row r="38" spans="1:6" s="11" customFormat="1" x14ac:dyDescent="0.3">
      <c r="A38" s="97">
        <v>40648</v>
      </c>
      <c r="B38" s="18" t="s">
        <v>1320</v>
      </c>
      <c r="C38" s="11" t="s">
        <v>1321</v>
      </c>
      <c r="D38" s="11" t="s">
        <v>389</v>
      </c>
      <c r="E38" s="11" t="s">
        <v>384</v>
      </c>
      <c r="F38" s="11" t="s">
        <v>385</v>
      </c>
    </row>
    <row r="39" spans="1:6" s="11" customFormat="1" x14ac:dyDescent="0.3">
      <c r="A39" s="97">
        <v>40648</v>
      </c>
      <c r="B39" s="18" t="s">
        <v>1322</v>
      </c>
      <c r="C39" s="11" t="s">
        <v>1323</v>
      </c>
      <c r="D39" s="11" t="s">
        <v>1324</v>
      </c>
      <c r="E39" s="11" t="s">
        <v>1273</v>
      </c>
      <c r="F39" s="11" t="s">
        <v>1274</v>
      </c>
    </row>
    <row r="40" spans="1:6" s="11" customFormat="1" x14ac:dyDescent="0.3">
      <c r="A40" s="97">
        <v>40648</v>
      </c>
      <c r="B40" s="18" t="s">
        <v>1069</v>
      </c>
      <c r="C40" s="11" t="s">
        <v>1070</v>
      </c>
      <c r="D40" s="11" t="s">
        <v>1071</v>
      </c>
      <c r="E40" s="11" t="s">
        <v>1072</v>
      </c>
      <c r="F40" s="11" t="s">
        <v>1073</v>
      </c>
    </row>
    <row r="41" spans="1:6" s="11" customFormat="1" x14ac:dyDescent="0.3">
      <c r="A41" s="97">
        <v>40648</v>
      </c>
      <c r="B41" s="18" t="s">
        <v>468</v>
      </c>
      <c r="C41" s="11" t="s">
        <v>469</v>
      </c>
      <c r="D41" s="11" t="s">
        <v>1074</v>
      </c>
      <c r="E41" s="11" t="s">
        <v>959</v>
      </c>
      <c r="F41" s="11" t="s">
        <v>399</v>
      </c>
    </row>
    <row r="42" spans="1:6" s="11" customFormat="1" x14ac:dyDescent="0.3">
      <c r="A42" s="97">
        <v>40648</v>
      </c>
      <c r="B42" s="18" t="s">
        <v>470</v>
      </c>
      <c r="C42" s="11" t="s">
        <v>471</v>
      </c>
      <c r="D42" s="11" t="s">
        <v>1075</v>
      </c>
      <c r="E42" s="11" t="s">
        <v>959</v>
      </c>
      <c r="F42" s="11" t="s">
        <v>399</v>
      </c>
    </row>
    <row r="43" spans="1:6" s="11" customFormat="1" x14ac:dyDescent="0.3">
      <c r="A43" s="97">
        <v>40648</v>
      </c>
      <c r="B43" s="18" t="s">
        <v>472</v>
      </c>
      <c r="C43" s="11" t="s">
        <v>473</v>
      </c>
      <c r="D43" s="11" t="s">
        <v>1076</v>
      </c>
      <c r="E43" s="11" t="s">
        <v>959</v>
      </c>
      <c r="F43" s="11" t="s">
        <v>399</v>
      </c>
    </row>
    <row r="44" spans="1:6" s="11" customFormat="1" x14ac:dyDescent="0.3">
      <c r="A44" s="97">
        <v>40648</v>
      </c>
      <c r="B44" s="18" t="s">
        <v>474</v>
      </c>
      <c r="C44" s="11" t="s">
        <v>475</v>
      </c>
      <c r="D44" s="11" t="s">
        <v>1077</v>
      </c>
      <c r="E44" s="11" t="s">
        <v>959</v>
      </c>
      <c r="F44" s="11" t="s">
        <v>399</v>
      </c>
    </row>
    <row r="45" spans="1:6" s="11" customFormat="1" x14ac:dyDescent="0.3">
      <c r="A45" s="97">
        <v>40648</v>
      </c>
      <c r="B45" s="18" t="s">
        <v>958</v>
      </c>
      <c r="C45" s="11" t="s">
        <v>1078</v>
      </c>
      <c r="D45" s="11" t="s">
        <v>1079</v>
      </c>
      <c r="E45" s="11" t="s">
        <v>959</v>
      </c>
      <c r="F45" s="11" t="s">
        <v>399</v>
      </c>
    </row>
    <row r="46" spans="1:6" s="11" customFormat="1" x14ac:dyDescent="0.3">
      <c r="A46" s="97">
        <v>40648</v>
      </c>
      <c r="B46" s="18" t="s">
        <v>476</v>
      </c>
      <c r="C46" s="11" t="s">
        <v>477</v>
      </c>
      <c r="D46" s="11" t="s">
        <v>1080</v>
      </c>
      <c r="E46" s="11" t="s">
        <v>959</v>
      </c>
      <c r="F46" s="11" t="s">
        <v>399</v>
      </c>
    </row>
    <row r="47" spans="1:6" s="11" customFormat="1" x14ac:dyDescent="0.3">
      <c r="A47" s="97">
        <v>40648</v>
      </c>
      <c r="B47" s="18" t="s">
        <v>478</v>
      </c>
      <c r="C47" s="11" t="s">
        <v>479</v>
      </c>
      <c r="D47" s="11" t="s">
        <v>1075</v>
      </c>
      <c r="E47" s="11" t="s">
        <v>959</v>
      </c>
      <c r="F47" s="11" t="s">
        <v>399</v>
      </c>
    </row>
    <row r="48" spans="1:6" s="11" customFormat="1" x14ac:dyDescent="0.3">
      <c r="A48" s="97">
        <v>40648</v>
      </c>
      <c r="B48" s="18" t="s">
        <v>480</v>
      </c>
      <c r="C48" s="11" t="s">
        <v>481</v>
      </c>
      <c r="D48" s="11" t="s">
        <v>1076</v>
      </c>
      <c r="E48" s="11" t="s">
        <v>959</v>
      </c>
      <c r="F48" s="11" t="s">
        <v>399</v>
      </c>
    </row>
    <row r="49" spans="1:6" s="11" customFormat="1" x14ac:dyDescent="0.3">
      <c r="A49" s="97">
        <v>40648</v>
      </c>
      <c r="B49" s="18" t="s">
        <v>482</v>
      </c>
      <c r="C49" s="11" t="s">
        <v>483</v>
      </c>
      <c r="D49" s="11" t="s">
        <v>1077</v>
      </c>
      <c r="E49" s="11" t="s">
        <v>959</v>
      </c>
      <c r="F49" s="11" t="s">
        <v>399</v>
      </c>
    </row>
    <row r="50" spans="1:6" s="11" customFormat="1" x14ac:dyDescent="0.3">
      <c r="A50" s="97">
        <v>40648</v>
      </c>
      <c r="B50" s="18" t="s">
        <v>484</v>
      </c>
      <c r="C50" s="11" t="s">
        <v>485</v>
      </c>
      <c r="D50" s="11" t="s">
        <v>1081</v>
      </c>
      <c r="E50" s="11" t="s">
        <v>959</v>
      </c>
      <c r="F50" s="11" t="s">
        <v>399</v>
      </c>
    </row>
    <row r="51" spans="1:6" s="11" customFormat="1" x14ac:dyDescent="0.3">
      <c r="A51" s="97">
        <v>40648</v>
      </c>
      <c r="B51" s="18" t="s">
        <v>486</v>
      </c>
      <c r="C51" s="11" t="s">
        <v>487</v>
      </c>
      <c r="D51" s="11" t="s">
        <v>1075</v>
      </c>
      <c r="E51" s="11" t="s">
        <v>959</v>
      </c>
      <c r="F51" s="11" t="s">
        <v>399</v>
      </c>
    </row>
    <row r="52" spans="1:6" s="11" customFormat="1" x14ac:dyDescent="0.3">
      <c r="A52" s="97">
        <v>40648</v>
      </c>
      <c r="B52" s="18" t="s">
        <v>488</v>
      </c>
      <c r="C52" s="11" t="s">
        <v>489</v>
      </c>
      <c r="D52" s="11" t="s">
        <v>1076</v>
      </c>
      <c r="E52" s="11" t="s">
        <v>959</v>
      </c>
      <c r="F52" s="11" t="s">
        <v>399</v>
      </c>
    </row>
    <row r="53" spans="1:6" s="11" customFormat="1" x14ac:dyDescent="0.3">
      <c r="A53" s="97">
        <v>40648</v>
      </c>
      <c r="B53" s="18" t="s">
        <v>490</v>
      </c>
      <c r="C53" s="11" t="s">
        <v>491</v>
      </c>
      <c r="D53" s="11" t="s">
        <v>1077</v>
      </c>
      <c r="E53" s="11" t="s">
        <v>959</v>
      </c>
      <c r="F53" s="11" t="s">
        <v>399</v>
      </c>
    </row>
    <row r="54" spans="1:6" s="11" customFormat="1" x14ac:dyDescent="0.3">
      <c r="A54" s="97">
        <v>40648</v>
      </c>
      <c r="B54" s="18" t="s">
        <v>1082</v>
      </c>
      <c r="C54" s="11" t="s">
        <v>1083</v>
      </c>
      <c r="D54" s="11" t="s">
        <v>1084</v>
      </c>
      <c r="E54" s="11" t="s">
        <v>959</v>
      </c>
      <c r="F54" s="11" t="s">
        <v>399</v>
      </c>
    </row>
    <row r="55" spans="1:6" s="11" customFormat="1" x14ac:dyDescent="0.3">
      <c r="A55" s="97">
        <v>40648</v>
      </c>
      <c r="B55" s="18" t="s">
        <v>1085</v>
      </c>
      <c r="C55" s="11" t="s">
        <v>1086</v>
      </c>
      <c r="D55" s="11" t="s">
        <v>1087</v>
      </c>
      <c r="E55" s="11" t="s">
        <v>1088</v>
      </c>
      <c r="F55" s="11" t="s">
        <v>1089</v>
      </c>
    </row>
    <row r="56" spans="1:6" s="11" customFormat="1" x14ac:dyDescent="0.3">
      <c r="A56" s="97">
        <v>40648</v>
      </c>
      <c r="B56" s="18" t="s">
        <v>1090</v>
      </c>
      <c r="C56" s="11" t="s">
        <v>1091</v>
      </c>
      <c r="D56" s="11" t="s">
        <v>1092</v>
      </c>
      <c r="E56" s="11" t="s">
        <v>1088</v>
      </c>
      <c r="F56" s="11" t="s">
        <v>1089</v>
      </c>
    </row>
    <row r="57" spans="1:6" s="11" customFormat="1" x14ac:dyDescent="0.3">
      <c r="A57" s="97">
        <v>40648</v>
      </c>
      <c r="B57" s="18" t="s">
        <v>1093</v>
      </c>
      <c r="C57" s="11" t="s">
        <v>1094</v>
      </c>
      <c r="D57" s="11" t="s">
        <v>1095</v>
      </c>
      <c r="E57" s="11" t="s">
        <v>1088</v>
      </c>
      <c r="F57" s="11" t="s">
        <v>1089</v>
      </c>
    </row>
    <row r="58" spans="1:6" s="11" customFormat="1" x14ac:dyDescent="0.3">
      <c r="A58" s="97">
        <v>40648</v>
      </c>
      <c r="B58" s="18" t="s">
        <v>1096</v>
      </c>
      <c r="C58" s="11" t="s">
        <v>1097</v>
      </c>
      <c r="D58" s="11" t="s">
        <v>1098</v>
      </c>
      <c r="E58" s="11" t="s">
        <v>1088</v>
      </c>
      <c r="F58" s="11" t="s">
        <v>1099</v>
      </c>
    </row>
    <row r="59" spans="1:6" s="11" customFormat="1" x14ac:dyDescent="0.3">
      <c r="A59" s="97">
        <v>40648</v>
      </c>
      <c r="B59" s="18" t="s">
        <v>1100</v>
      </c>
      <c r="C59" s="11" t="s">
        <v>1101</v>
      </c>
      <c r="D59" s="11" t="s">
        <v>1098</v>
      </c>
      <c r="E59" s="11" t="s">
        <v>1102</v>
      </c>
      <c r="F59" s="11" t="s">
        <v>1099</v>
      </c>
    </row>
    <row r="60" spans="1:6" s="11" customFormat="1" x14ac:dyDescent="0.3">
      <c r="A60" s="97">
        <v>40648</v>
      </c>
      <c r="B60" s="18" t="s">
        <v>1103</v>
      </c>
      <c r="C60" s="11" t="s">
        <v>1104</v>
      </c>
      <c r="D60" s="11" t="s">
        <v>1098</v>
      </c>
      <c r="E60" s="11" t="s">
        <v>1088</v>
      </c>
      <c r="F60" s="11" t="s">
        <v>1099</v>
      </c>
    </row>
    <row r="61" spans="1:6" s="11" customFormat="1" x14ac:dyDescent="0.3">
      <c r="A61" s="97">
        <v>40648</v>
      </c>
      <c r="B61" s="18" t="s">
        <v>1105</v>
      </c>
      <c r="C61" s="11" t="s">
        <v>1106</v>
      </c>
      <c r="D61" s="11" t="s">
        <v>1098</v>
      </c>
      <c r="E61" s="11" t="s">
        <v>1088</v>
      </c>
      <c r="F61" s="11" t="s">
        <v>1099</v>
      </c>
    </row>
    <row r="62" spans="1:6" s="11" customFormat="1" x14ac:dyDescent="0.3">
      <c r="A62" s="97">
        <v>40648</v>
      </c>
      <c r="B62" s="18" t="s">
        <v>1107</v>
      </c>
      <c r="C62" s="11" t="s">
        <v>1108</v>
      </c>
      <c r="D62" s="11" t="s">
        <v>1109</v>
      </c>
      <c r="E62" s="11" t="s">
        <v>1102</v>
      </c>
      <c r="F62" s="11" t="s">
        <v>1089</v>
      </c>
    </row>
    <row r="63" spans="1:6" s="11" customFormat="1" x14ac:dyDescent="0.3">
      <c r="A63" s="97">
        <v>40648</v>
      </c>
      <c r="B63" s="18" t="s">
        <v>1110</v>
      </c>
      <c r="C63" s="11" t="s">
        <v>1111</v>
      </c>
      <c r="D63" s="11" t="s">
        <v>1112</v>
      </c>
      <c r="E63" s="11" t="s">
        <v>1102</v>
      </c>
      <c r="F63" s="11" t="s">
        <v>1089</v>
      </c>
    </row>
    <row r="64" spans="1:6" s="11" customFormat="1" x14ac:dyDescent="0.3">
      <c r="A64" s="97">
        <v>40648</v>
      </c>
      <c r="B64" s="18" t="s">
        <v>1113</v>
      </c>
      <c r="C64" s="11" t="s">
        <v>1114</v>
      </c>
      <c r="D64" s="11" t="s">
        <v>1115</v>
      </c>
      <c r="E64" s="11" t="s">
        <v>1116</v>
      </c>
      <c r="F64" s="11" t="s">
        <v>38</v>
      </c>
    </row>
    <row r="65" spans="1:6" s="11" customFormat="1" x14ac:dyDescent="0.3">
      <c r="A65" s="97">
        <v>40648</v>
      </c>
      <c r="B65" s="18" t="s">
        <v>1117</v>
      </c>
      <c r="C65" s="11" t="s">
        <v>1118</v>
      </c>
      <c r="D65" s="11" t="s">
        <v>1119</v>
      </c>
      <c r="E65" s="11" t="s">
        <v>37</v>
      </c>
      <c r="F65" s="11" t="s">
        <v>38</v>
      </c>
    </row>
    <row r="66" spans="1:6" s="11" customFormat="1" x14ac:dyDescent="0.3">
      <c r="A66" s="97">
        <v>40648</v>
      </c>
      <c r="B66" s="18" t="s">
        <v>1120</v>
      </c>
      <c r="C66" s="11" t="s">
        <v>1121</v>
      </c>
      <c r="D66" s="11" t="s">
        <v>1122</v>
      </c>
      <c r="E66" s="11" t="s">
        <v>37</v>
      </c>
      <c r="F66" s="11" t="s">
        <v>38</v>
      </c>
    </row>
    <row r="67" spans="1:6" s="11" customFormat="1" x14ac:dyDescent="0.3">
      <c r="A67" s="97">
        <v>40648</v>
      </c>
      <c r="B67" s="18" t="s">
        <v>109</v>
      </c>
      <c r="C67" s="11" t="s">
        <v>110</v>
      </c>
      <c r="D67" s="11" t="s">
        <v>1123</v>
      </c>
      <c r="E67" s="11" t="s">
        <v>409</v>
      </c>
      <c r="F67" s="11" t="s">
        <v>38</v>
      </c>
    </row>
    <row r="68" spans="1:6" s="11" customFormat="1" x14ac:dyDescent="0.3">
      <c r="A68" s="97">
        <v>40648</v>
      </c>
      <c r="B68" s="18" t="s">
        <v>1124</v>
      </c>
      <c r="C68" s="11" t="s">
        <v>1125</v>
      </c>
      <c r="D68" s="11" t="s">
        <v>1126</v>
      </c>
      <c r="E68" s="11" t="s">
        <v>37</v>
      </c>
      <c r="F68" s="11" t="s">
        <v>38</v>
      </c>
    </row>
    <row r="69" spans="1:6" s="11" customFormat="1" x14ac:dyDescent="0.3">
      <c r="A69" s="97">
        <v>40648</v>
      </c>
      <c r="B69" s="18" t="s">
        <v>1127</v>
      </c>
      <c r="C69" s="11" t="s">
        <v>1128</v>
      </c>
      <c r="D69" s="11" t="s">
        <v>1129</v>
      </c>
      <c r="E69" s="11" t="s">
        <v>37</v>
      </c>
      <c r="F69" s="11" t="s">
        <v>38</v>
      </c>
    </row>
    <row r="70" spans="1:6" s="11" customFormat="1" x14ac:dyDescent="0.3">
      <c r="A70" s="97">
        <v>40648</v>
      </c>
      <c r="B70" s="18" t="s">
        <v>1130</v>
      </c>
      <c r="C70" s="11" t="s">
        <v>1131</v>
      </c>
      <c r="D70" s="11" t="s">
        <v>1132</v>
      </c>
      <c r="E70" s="11" t="s">
        <v>409</v>
      </c>
      <c r="F70" s="11" t="s">
        <v>38</v>
      </c>
    </row>
    <row r="71" spans="1:6" s="11" customFormat="1" x14ac:dyDescent="0.3">
      <c r="A71" s="97">
        <v>40648</v>
      </c>
      <c r="B71" s="18" t="s">
        <v>1133</v>
      </c>
      <c r="C71" s="11" t="s">
        <v>1134</v>
      </c>
      <c r="D71" s="11" t="s">
        <v>1135</v>
      </c>
      <c r="E71" s="11" t="s">
        <v>409</v>
      </c>
      <c r="F71" s="11" t="s">
        <v>38</v>
      </c>
    </row>
    <row r="72" spans="1:6" s="11" customFormat="1" x14ac:dyDescent="0.3">
      <c r="A72" s="97">
        <v>40648</v>
      </c>
      <c r="B72" s="18" t="s">
        <v>1136</v>
      </c>
      <c r="C72" s="11" t="s">
        <v>1137</v>
      </c>
      <c r="D72" s="11" t="s">
        <v>1138</v>
      </c>
      <c r="E72" s="11" t="s">
        <v>409</v>
      </c>
      <c r="F72" s="11" t="s">
        <v>38</v>
      </c>
    </row>
    <row r="73" spans="1:6" s="11" customFormat="1" x14ac:dyDescent="0.3">
      <c r="A73" s="97">
        <v>40648</v>
      </c>
      <c r="B73" s="18" t="s">
        <v>1139</v>
      </c>
      <c r="C73" s="11" t="s">
        <v>1140</v>
      </c>
      <c r="D73" s="11" t="s">
        <v>1141</v>
      </c>
      <c r="E73" s="11" t="s">
        <v>39</v>
      </c>
      <c r="F73" s="11" t="s">
        <v>1142</v>
      </c>
    </row>
    <row r="74" spans="1:6" s="11" customFormat="1" x14ac:dyDescent="0.3">
      <c r="A74" s="97">
        <v>40648</v>
      </c>
      <c r="B74" s="18" t="s">
        <v>1143</v>
      </c>
      <c r="C74" s="11" t="s">
        <v>1144</v>
      </c>
      <c r="D74" s="11" t="s">
        <v>1145</v>
      </c>
      <c r="E74" s="11" t="s">
        <v>39</v>
      </c>
      <c r="F74" s="11" t="s">
        <v>1146</v>
      </c>
    </row>
    <row r="75" spans="1:6" s="11" customFormat="1" x14ac:dyDescent="0.3">
      <c r="A75" s="97">
        <v>40648</v>
      </c>
      <c r="B75" s="18" t="s">
        <v>1147</v>
      </c>
      <c r="C75" s="11" t="s">
        <v>1148</v>
      </c>
      <c r="D75" s="11" t="s">
        <v>1145</v>
      </c>
      <c r="E75" s="11" t="s">
        <v>39</v>
      </c>
      <c r="F75" s="11" t="s">
        <v>1142</v>
      </c>
    </row>
    <row r="76" spans="1:6" s="11" customFormat="1" x14ac:dyDescent="0.3">
      <c r="A76" s="97">
        <v>40648</v>
      </c>
      <c r="B76" s="18" t="s">
        <v>1149</v>
      </c>
      <c r="C76" s="11" t="s">
        <v>1150</v>
      </c>
      <c r="D76" s="11" t="s">
        <v>1151</v>
      </c>
      <c r="E76" s="11" t="s">
        <v>1152</v>
      </c>
      <c r="F76" s="11" t="s">
        <v>1153</v>
      </c>
    </row>
    <row r="77" spans="1:6" s="11" customFormat="1" x14ac:dyDescent="0.3">
      <c r="A77" s="97">
        <v>40648</v>
      </c>
      <c r="B77" s="18" t="s">
        <v>1154</v>
      </c>
      <c r="C77" s="11" t="s">
        <v>1155</v>
      </c>
      <c r="D77" s="11" t="s">
        <v>1156</v>
      </c>
      <c r="E77" s="11" t="s">
        <v>1152</v>
      </c>
      <c r="F77" s="11" t="s">
        <v>1153</v>
      </c>
    </row>
    <row r="78" spans="1:6" s="11" customFormat="1" x14ac:dyDescent="0.3">
      <c r="A78" s="97">
        <v>40648</v>
      </c>
      <c r="B78" s="18" t="s">
        <v>1157</v>
      </c>
      <c r="C78" s="11" t="s">
        <v>1158</v>
      </c>
      <c r="D78" s="11" t="s">
        <v>1156</v>
      </c>
      <c r="E78" s="11" t="s">
        <v>1152</v>
      </c>
      <c r="F78" s="11" t="s">
        <v>1153</v>
      </c>
    </row>
    <row r="79" spans="1:6" s="11" customFormat="1" x14ac:dyDescent="0.3">
      <c r="A79" s="97">
        <v>40648</v>
      </c>
      <c r="B79" s="18" t="s">
        <v>1159</v>
      </c>
      <c r="C79" s="11" t="s">
        <v>1160</v>
      </c>
      <c r="D79" s="11" t="s">
        <v>1156</v>
      </c>
      <c r="E79" s="11" t="s">
        <v>1152</v>
      </c>
      <c r="F79" s="11" t="s">
        <v>1153</v>
      </c>
    </row>
    <row r="80" spans="1:6" s="11" customFormat="1" x14ac:dyDescent="0.3">
      <c r="A80" s="97">
        <v>40648</v>
      </c>
      <c r="B80" s="18" t="s">
        <v>1161</v>
      </c>
      <c r="C80" s="11" t="s">
        <v>1162</v>
      </c>
      <c r="D80" s="11" t="s">
        <v>1163</v>
      </c>
      <c r="E80" s="11" t="s">
        <v>1164</v>
      </c>
      <c r="F80" s="11" t="s">
        <v>1165</v>
      </c>
    </row>
    <row r="81" spans="1:6" s="11" customFormat="1" x14ac:dyDescent="0.3">
      <c r="A81" s="97">
        <v>40648</v>
      </c>
      <c r="B81" s="18" t="s">
        <v>1166</v>
      </c>
      <c r="C81" s="11" t="s">
        <v>1167</v>
      </c>
      <c r="D81" s="11" t="s">
        <v>1168</v>
      </c>
      <c r="E81" s="11" t="s">
        <v>1164</v>
      </c>
      <c r="F81" s="11" t="s">
        <v>1165</v>
      </c>
    </row>
    <row r="82" spans="1:6" s="11" customFormat="1" x14ac:dyDescent="0.3">
      <c r="A82" s="97">
        <v>40648</v>
      </c>
      <c r="B82" s="18" t="s">
        <v>1169</v>
      </c>
      <c r="C82" s="11" t="s">
        <v>1170</v>
      </c>
      <c r="D82" s="11" t="s">
        <v>1171</v>
      </c>
      <c r="E82" s="11" t="s">
        <v>1164</v>
      </c>
      <c r="F82" s="11" t="s">
        <v>1165</v>
      </c>
    </row>
    <row r="83" spans="1:6" s="11" customFormat="1" x14ac:dyDescent="0.3">
      <c r="A83" s="97">
        <v>40648</v>
      </c>
      <c r="B83" s="18" t="s">
        <v>1172</v>
      </c>
      <c r="C83" s="11" t="s">
        <v>1173</v>
      </c>
      <c r="D83" s="11" t="s">
        <v>1174</v>
      </c>
      <c r="E83" s="11" t="s">
        <v>1164</v>
      </c>
      <c r="F83" s="11" t="s">
        <v>1165</v>
      </c>
    </row>
    <row r="84" spans="1:6" s="11" customFormat="1" x14ac:dyDescent="0.3">
      <c r="A84" s="97">
        <v>40648</v>
      </c>
      <c r="B84" s="18" t="s">
        <v>1175</v>
      </c>
      <c r="C84" s="11" t="s">
        <v>1176</v>
      </c>
      <c r="D84" s="11" t="s">
        <v>1177</v>
      </c>
      <c r="E84" s="11" t="s">
        <v>1164</v>
      </c>
      <c r="F84" s="11" t="s">
        <v>1165</v>
      </c>
    </row>
    <row r="85" spans="1:6" s="11" customFormat="1" x14ac:dyDescent="0.3">
      <c r="A85" s="97">
        <v>40648</v>
      </c>
      <c r="B85" s="18" t="s">
        <v>1178</v>
      </c>
      <c r="C85" s="11" t="s">
        <v>1179</v>
      </c>
      <c r="D85" s="11" t="s">
        <v>1180</v>
      </c>
      <c r="E85" s="11" t="s">
        <v>1164</v>
      </c>
      <c r="F85" s="11" t="s">
        <v>1165</v>
      </c>
    </row>
    <row r="86" spans="1:6" s="11" customFormat="1" x14ac:dyDescent="0.3">
      <c r="A86" s="97">
        <v>40648</v>
      </c>
      <c r="B86" s="18" t="s">
        <v>1181</v>
      </c>
      <c r="C86" s="11" t="s">
        <v>1182</v>
      </c>
      <c r="D86" s="11" t="s">
        <v>1183</v>
      </c>
      <c r="E86" s="11" t="s">
        <v>39</v>
      </c>
      <c r="F86" s="11" t="s">
        <v>1184</v>
      </c>
    </row>
    <row r="87" spans="1:6" s="11" customFormat="1" x14ac:dyDescent="0.3">
      <c r="A87" s="97">
        <v>40648</v>
      </c>
      <c r="B87" s="18" t="s">
        <v>1185</v>
      </c>
      <c r="C87" s="11" t="s">
        <v>1186</v>
      </c>
      <c r="D87" s="11" t="s">
        <v>1187</v>
      </c>
      <c r="E87" s="11" t="s">
        <v>39</v>
      </c>
      <c r="F87" s="11" t="s">
        <v>1188</v>
      </c>
    </row>
    <row r="88" spans="1:6" s="11" customFormat="1" x14ac:dyDescent="0.3">
      <c r="A88" s="97">
        <v>40648</v>
      </c>
      <c r="B88" s="18" t="s">
        <v>1189</v>
      </c>
      <c r="C88" s="11" t="s">
        <v>1190</v>
      </c>
      <c r="D88" s="11" t="s">
        <v>1191</v>
      </c>
      <c r="E88" s="11" t="s">
        <v>39</v>
      </c>
      <c r="F88" s="11" t="s">
        <v>1192</v>
      </c>
    </row>
    <row r="89" spans="1:6" s="11" customFormat="1" x14ac:dyDescent="0.3">
      <c r="A89" s="97">
        <v>40648</v>
      </c>
      <c r="B89" s="18" t="s">
        <v>1193</v>
      </c>
      <c r="C89" s="11" t="s">
        <v>1194</v>
      </c>
      <c r="D89" s="11" t="s">
        <v>1195</v>
      </c>
      <c r="E89" s="11" t="s">
        <v>39</v>
      </c>
      <c r="F89" s="11" t="s">
        <v>1184</v>
      </c>
    </row>
    <row r="90" spans="1:6" s="11" customFormat="1" x14ac:dyDescent="0.3">
      <c r="A90" s="97">
        <v>40648</v>
      </c>
      <c r="B90" s="18" t="s">
        <v>1196</v>
      </c>
      <c r="C90" s="11" t="s">
        <v>1197</v>
      </c>
      <c r="D90" s="11" t="s">
        <v>1198</v>
      </c>
      <c r="E90" s="11" t="s">
        <v>39</v>
      </c>
      <c r="F90" s="11" t="s">
        <v>1188</v>
      </c>
    </row>
    <row r="91" spans="1:6" s="11" customFormat="1" x14ac:dyDescent="0.3">
      <c r="A91" s="97">
        <v>40648</v>
      </c>
      <c r="B91" s="18" t="s">
        <v>1199</v>
      </c>
      <c r="C91" s="11" t="s">
        <v>1200</v>
      </c>
      <c r="D91" s="11" t="s">
        <v>1201</v>
      </c>
      <c r="E91" s="11" t="s">
        <v>39</v>
      </c>
      <c r="F91" s="11" t="s">
        <v>1192</v>
      </c>
    </row>
    <row r="92" spans="1:6" s="11" customFormat="1" x14ac:dyDescent="0.3">
      <c r="A92" s="97">
        <v>40648</v>
      </c>
      <c r="B92" s="18" t="s">
        <v>309</v>
      </c>
      <c r="C92" s="11" t="s">
        <v>1202</v>
      </c>
      <c r="D92" s="11" t="s">
        <v>1203</v>
      </c>
      <c r="E92" s="11" t="s">
        <v>310</v>
      </c>
      <c r="F92" s="11" t="s">
        <v>427</v>
      </c>
    </row>
    <row r="93" spans="1:6" s="11" customFormat="1" x14ac:dyDescent="0.3">
      <c r="A93" s="97">
        <v>40648</v>
      </c>
      <c r="B93" s="18" t="s">
        <v>312</v>
      </c>
      <c r="C93" s="11" t="s">
        <v>1204</v>
      </c>
      <c r="D93" s="11" t="s">
        <v>1203</v>
      </c>
      <c r="E93" s="11" t="s">
        <v>310</v>
      </c>
      <c r="F93" s="11" t="s">
        <v>427</v>
      </c>
    </row>
    <row r="94" spans="1:6" s="11" customFormat="1" x14ac:dyDescent="0.3">
      <c r="A94" s="97">
        <v>40648</v>
      </c>
      <c r="B94" s="18" t="s">
        <v>322</v>
      </c>
      <c r="C94" s="11" t="s">
        <v>1205</v>
      </c>
      <c r="D94" s="11" t="s">
        <v>1206</v>
      </c>
      <c r="E94" s="11" t="s">
        <v>314</v>
      </c>
      <c r="F94" s="11" t="s">
        <v>57</v>
      </c>
    </row>
    <row r="95" spans="1:6" s="11" customFormat="1" x14ac:dyDescent="0.3">
      <c r="A95" s="97">
        <v>40648</v>
      </c>
      <c r="B95" s="18" t="s">
        <v>1207</v>
      </c>
      <c r="C95" s="11" t="s">
        <v>1208</v>
      </c>
      <c r="D95" s="11" t="s">
        <v>1209</v>
      </c>
      <c r="E95" s="11" t="s">
        <v>324</v>
      </c>
      <c r="F95" s="11" t="s">
        <v>46</v>
      </c>
    </row>
    <row r="96" spans="1:6" s="11" customFormat="1" x14ac:dyDescent="0.3">
      <c r="A96" s="97">
        <v>40648</v>
      </c>
      <c r="B96" s="18" t="s">
        <v>1325</v>
      </c>
      <c r="C96" s="11" t="s">
        <v>1326</v>
      </c>
      <c r="D96" s="11" t="s">
        <v>1327</v>
      </c>
      <c r="E96" s="11" t="s">
        <v>1328</v>
      </c>
      <c r="F96" s="11" t="s">
        <v>46</v>
      </c>
    </row>
    <row r="97" spans="1:6" s="11" customFormat="1" x14ac:dyDescent="0.3">
      <c r="A97" s="97">
        <v>40648</v>
      </c>
      <c r="B97" s="18" t="s">
        <v>1210</v>
      </c>
      <c r="C97" s="11" t="s">
        <v>1211</v>
      </c>
      <c r="D97" s="11" t="s">
        <v>1212</v>
      </c>
      <c r="E97" s="11" t="s">
        <v>1213</v>
      </c>
      <c r="F97" s="11" t="s">
        <v>432</v>
      </c>
    </row>
    <row r="98" spans="1:6" s="11" customFormat="1" x14ac:dyDescent="0.3">
      <c r="A98" s="97">
        <v>40648</v>
      </c>
      <c r="B98" s="18" t="s">
        <v>337</v>
      </c>
      <c r="C98" s="11" t="s">
        <v>1214</v>
      </c>
      <c r="D98" s="11" t="s">
        <v>1215</v>
      </c>
      <c r="E98" s="11" t="s">
        <v>329</v>
      </c>
      <c r="F98" s="11" t="s">
        <v>432</v>
      </c>
    </row>
    <row r="99" spans="1:6" s="11" customFormat="1" x14ac:dyDescent="0.3">
      <c r="A99" s="97">
        <v>40648</v>
      </c>
      <c r="B99" s="18" t="s">
        <v>1216</v>
      </c>
      <c r="C99" s="11" t="s">
        <v>1217</v>
      </c>
      <c r="D99" s="11" t="s">
        <v>1218</v>
      </c>
      <c r="E99" s="11" t="s">
        <v>1219</v>
      </c>
      <c r="F99" s="11" t="s">
        <v>432</v>
      </c>
    </row>
    <row r="100" spans="1:6" s="11" customFormat="1" x14ac:dyDescent="0.3">
      <c r="A100" s="97">
        <v>40648</v>
      </c>
      <c r="B100" s="18" t="s">
        <v>342</v>
      </c>
      <c r="C100" s="11" t="s">
        <v>1220</v>
      </c>
      <c r="D100" s="11" t="s">
        <v>1221</v>
      </c>
      <c r="E100" s="11" t="s">
        <v>969</v>
      </c>
      <c r="F100" s="11" t="s">
        <v>1222</v>
      </c>
    </row>
    <row r="101" spans="1:6" s="11" customFormat="1" x14ac:dyDescent="0.3">
      <c r="A101" s="97">
        <v>40648</v>
      </c>
      <c r="B101" s="18" t="s">
        <v>1223</v>
      </c>
      <c r="C101" s="11" t="s">
        <v>1224</v>
      </c>
      <c r="D101" s="11" t="s">
        <v>1225</v>
      </c>
      <c r="E101" s="11" t="s">
        <v>418</v>
      </c>
      <c r="F101" s="11" t="s">
        <v>92</v>
      </c>
    </row>
    <row r="102" spans="1:6" s="11" customFormat="1" x14ac:dyDescent="0.3">
      <c r="A102" s="97">
        <v>40648</v>
      </c>
      <c r="B102" s="18" t="s">
        <v>1226</v>
      </c>
      <c r="C102" s="11" t="s">
        <v>1227</v>
      </c>
      <c r="D102" s="11" t="s">
        <v>1225</v>
      </c>
      <c r="E102" s="11" t="s">
        <v>418</v>
      </c>
      <c r="F102" s="11" t="s">
        <v>92</v>
      </c>
    </row>
    <row r="103" spans="1:6" s="11" customFormat="1" x14ac:dyDescent="0.3">
      <c r="A103" s="97">
        <v>40648</v>
      </c>
      <c r="B103" s="18" t="s">
        <v>1228</v>
      </c>
      <c r="C103" s="11" t="s">
        <v>1229</v>
      </c>
      <c r="D103" s="11" t="s">
        <v>1225</v>
      </c>
      <c r="E103" s="11" t="s">
        <v>418</v>
      </c>
      <c r="F103" s="11" t="s">
        <v>92</v>
      </c>
    </row>
    <row r="104" spans="1:6" s="11" customFormat="1" x14ac:dyDescent="0.3">
      <c r="A104" s="97">
        <v>40648</v>
      </c>
      <c r="B104" s="18" t="s">
        <v>664</v>
      </c>
      <c r="C104" s="11" t="s">
        <v>1230</v>
      </c>
      <c r="D104" s="11" t="s">
        <v>665</v>
      </c>
      <c r="E104" s="11" t="s">
        <v>436</v>
      </c>
      <c r="F104" s="11" t="s">
        <v>92</v>
      </c>
    </row>
    <row r="105" spans="1:6" s="11" customFormat="1" x14ac:dyDescent="0.3">
      <c r="A105" s="97">
        <v>40648</v>
      </c>
      <c r="B105" s="18" t="s">
        <v>667</v>
      </c>
      <c r="C105" s="11" t="s">
        <v>1231</v>
      </c>
      <c r="D105" s="11" t="s">
        <v>665</v>
      </c>
      <c r="E105" s="11" t="s">
        <v>436</v>
      </c>
      <c r="F105" s="11" t="s">
        <v>92</v>
      </c>
    </row>
    <row r="106" spans="1:6" s="11" customFormat="1" x14ac:dyDescent="0.3">
      <c r="A106" s="97">
        <v>40648</v>
      </c>
      <c r="B106" s="18" t="s">
        <v>668</v>
      </c>
      <c r="C106" s="11" t="s">
        <v>1232</v>
      </c>
      <c r="D106" s="11" t="s">
        <v>665</v>
      </c>
      <c r="E106" s="11" t="s">
        <v>436</v>
      </c>
      <c r="F106" s="11" t="s">
        <v>92</v>
      </c>
    </row>
    <row r="107" spans="1:6" s="11" customFormat="1" x14ac:dyDescent="0.3">
      <c r="A107" s="97">
        <v>40648</v>
      </c>
      <c r="B107" s="18" t="s">
        <v>1233</v>
      </c>
      <c r="C107" s="11" t="s">
        <v>1234</v>
      </c>
      <c r="D107" s="11" t="s">
        <v>1235</v>
      </c>
      <c r="E107" s="11" t="s">
        <v>436</v>
      </c>
      <c r="F107" s="11" t="s">
        <v>92</v>
      </c>
    </row>
    <row r="108" spans="1:6" s="11" customFormat="1" x14ac:dyDescent="0.3">
      <c r="A108" s="97">
        <v>40648</v>
      </c>
      <c r="B108" s="18" t="s">
        <v>1236</v>
      </c>
      <c r="C108" s="11" t="s">
        <v>1237</v>
      </c>
      <c r="D108" s="11" t="s">
        <v>1235</v>
      </c>
      <c r="E108" s="11" t="s">
        <v>436</v>
      </c>
      <c r="F108" s="11" t="s">
        <v>92</v>
      </c>
    </row>
    <row r="109" spans="1:6" s="11" customFormat="1" x14ac:dyDescent="0.3">
      <c r="A109" s="97">
        <v>40648</v>
      </c>
      <c r="B109" s="18" t="s">
        <v>1238</v>
      </c>
      <c r="C109" s="11" t="s">
        <v>1239</v>
      </c>
      <c r="D109" s="11" t="s">
        <v>1235</v>
      </c>
      <c r="E109" s="11" t="s">
        <v>436</v>
      </c>
      <c r="F109" s="11" t="s">
        <v>92</v>
      </c>
    </row>
    <row r="110" spans="1:6" s="11" customFormat="1" x14ac:dyDescent="0.3">
      <c r="A110" s="97">
        <v>40648</v>
      </c>
      <c r="B110" s="18" t="s">
        <v>1240</v>
      </c>
      <c r="C110" s="11" t="s">
        <v>1241</v>
      </c>
      <c r="D110" s="11" t="s">
        <v>1242</v>
      </c>
      <c r="E110" s="11" t="s">
        <v>436</v>
      </c>
      <c r="F110" s="11" t="s">
        <v>92</v>
      </c>
    </row>
    <row r="111" spans="1:6" s="11" customFormat="1" x14ac:dyDescent="0.3">
      <c r="A111" s="97">
        <v>40648</v>
      </c>
      <c r="B111" s="18" t="s">
        <v>1243</v>
      </c>
      <c r="C111" s="11" t="s">
        <v>1244</v>
      </c>
      <c r="D111" s="11" t="s">
        <v>1242</v>
      </c>
      <c r="E111" s="11" t="s">
        <v>436</v>
      </c>
      <c r="F111" s="11" t="s">
        <v>92</v>
      </c>
    </row>
    <row r="112" spans="1:6" s="11" customFormat="1" x14ac:dyDescent="0.3">
      <c r="A112" s="97">
        <v>40648</v>
      </c>
      <c r="B112" s="18" t="s">
        <v>1245</v>
      </c>
      <c r="C112" s="11" t="s">
        <v>1246</v>
      </c>
      <c r="D112" s="11" t="s">
        <v>1242</v>
      </c>
      <c r="E112" s="11" t="s">
        <v>436</v>
      </c>
      <c r="F112" s="11" t="s">
        <v>92</v>
      </c>
    </row>
    <row r="113" spans="1:256" s="11" customFormat="1" x14ac:dyDescent="0.3">
      <c r="A113" s="97">
        <v>40648</v>
      </c>
      <c r="B113" s="18" t="s">
        <v>492</v>
      </c>
      <c r="C113" s="11" t="s">
        <v>493</v>
      </c>
      <c r="D113" s="11" t="s">
        <v>1247</v>
      </c>
      <c r="E113" s="11" t="s">
        <v>1248</v>
      </c>
      <c r="F113" s="11" t="s">
        <v>92</v>
      </c>
    </row>
    <row r="114" spans="1:256" s="11" customFormat="1" x14ac:dyDescent="0.3">
      <c r="A114" s="97">
        <v>40648</v>
      </c>
      <c r="B114" s="18" t="s">
        <v>1249</v>
      </c>
      <c r="C114" s="11" t="s">
        <v>1250</v>
      </c>
      <c r="D114" s="11" t="s">
        <v>1251</v>
      </c>
      <c r="E114" s="11" t="s">
        <v>436</v>
      </c>
      <c r="F114" s="11" t="s">
        <v>92</v>
      </c>
    </row>
    <row r="115" spans="1:256" s="11" customFormat="1" x14ac:dyDescent="0.3">
      <c r="A115" s="97">
        <v>40648</v>
      </c>
      <c r="B115" s="18" t="s">
        <v>1252</v>
      </c>
      <c r="C115" s="11" t="s">
        <v>1253</v>
      </c>
      <c r="D115" s="11" t="s">
        <v>1251</v>
      </c>
      <c r="E115" s="11" t="s">
        <v>436</v>
      </c>
      <c r="F115" s="11" t="s">
        <v>92</v>
      </c>
    </row>
    <row r="116" spans="1:256" s="11" customFormat="1" x14ac:dyDescent="0.3">
      <c r="A116" s="97">
        <v>40648</v>
      </c>
      <c r="B116" s="18" t="s">
        <v>1254</v>
      </c>
      <c r="C116" s="11" t="s">
        <v>1255</v>
      </c>
      <c r="D116" s="11" t="s">
        <v>1251</v>
      </c>
      <c r="E116" s="11" t="s">
        <v>436</v>
      </c>
      <c r="F116" s="11" t="s">
        <v>92</v>
      </c>
    </row>
    <row r="117" spans="1:256" x14ac:dyDescent="0.3">
      <c r="A117" s="97">
        <v>40648</v>
      </c>
      <c r="B117" s="18" t="s">
        <v>1256</v>
      </c>
      <c r="C117" s="11" t="s">
        <v>1257</v>
      </c>
      <c r="D117" s="11" t="s">
        <v>1251</v>
      </c>
      <c r="E117" s="11" t="s">
        <v>436</v>
      </c>
      <c r="F117" s="11" t="s">
        <v>92</v>
      </c>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c r="DV117" s="11"/>
      <c r="DW117" s="11"/>
      <c r="DX117" s="11"/>
      <c r="DY117" s="11"/>
      <c r="DZ117" s="11"/>
      <c r="EA117" s="11"/>
      <c r="EB117" s="11"/>
      <c r="EC117" s="11"/>
      <c r="ED117" s="11"/>
      <c r="EE117" s="11"/>
      <c r="EF117" s="11"/>
      <c r="EG117" s="11"/>
      <c r="EH117" s="11"/>
      <c r="EI117" s="11"/>
      <c r="EJ117" s="11"/>
      <c r="EK117" s="11"/>
      <c r="EL117" s="11"/>
      <c r="EM117" s="11"/>
      <c r="EN117" s="11"/>
      <c r="EO117" s="11"/>
      <c r="EP117" s="11"/>
      <c r="EQ117" s="11"/>
      <c r="ER117" s="11"/>
      <c r="ES117" s="11"/>
      <c r="ET117" s="11"/>
      <c r="EU117" s="11"/>
      <c r="EV117" s="11"/>
      <c r="EW117" s="11"/>
      <c r="EX117" s="11"/>
      <c r="EY117" s="11"/>
      <c r="EZ117" s="11"/>
      <c r="FA117" s="11"/>
      <c r="FB117" s="11"/>
      <c r="FC117" s="11"/>
      <c r="FD117" s="11"/>
      <c r="FE117" s="11"/>
      <c r="FF117" s="11"/>
      <c r="FG117" s="11"/>
      <c r="FH117" s="11"/>
      <c r="FI117" s="11"/>
      <c r="FJ117" s="11"/>
      <c r="FK117" s="11"/>
      <c r="FL117" s="11"/>
      <c r="FM117" s="11"/>
      <c r="FN117" s="11"/>
      <c r="FO117" s="11"/>
      <c r="FP117" s="11"/>
      <c r="FQ117" s="11"/>
      <c r="FR117" s="11"/>
      <c r="FS117" s="11"/>
      <c r="FT117" s="11"/>
      <c r="FU117" s="11"/>
      <c r="FV117" s="11"/>
      <c r="FW117" s="11"/>
      <c r="FX117" s="11"/>
      <c r="FY117" s="11"/>
      <c r="FZ117" s="11"/>
      <c r="GA117" s="11"/>
      <c r="GB117" s="11"/>
      <c r="GC117" s="11"/>
      <c r="GD117" s="11"/>
      <c r="GE117" s="11"/>
      <c r="GF117" s="11"/>
      <c r="GG117" s="11"/>
      <c r="GH117" s="11"/>
      <c r="GI117" s="11"/>
      <c r="GJ117" s="11"/>
      <c r="GK117" s="11"/>
      <c r="GL117" s="11"/>
      <c r="GM117" s="11"/>
      <c r="GN117" s="11"/>
      <c r="GO117" s="11"/>
      <c r="GP117" s="11"/>
      <c r="GQ117" s="11"/>
      <c r="GR117" s="11"/>
      <c r="GS117" s="11"/>
      <c r="GT117" s="11"/>
      <c r="GU117" s="11"/>
      <c r="GV117" s="11"/>
      <c r="GW117" s="11"/>
      <c r="GX117" s="11"/>
      <c r="GY117" s="11"/>
      <c r="GZ117" s="11"/>
      <c r="HA117" s="11"/>
      <c r="HB117" s="11"/>
      <c r="HC117" s="11"/>
      <c r="HD117" s="11"/>
      <c r="HE117" s="11"/>
      <c r="HF117" s="11"/>
      <c r="HG117" s="11"/>
      <c r="HH117" s="11"/>
      <c r="HI117" s="11"/>
      <c r="HJ117" s="11"/>
      <c r="HK117" s="11"/>
      <c r="HL117" s="11"/>
      <c r="HM117" s="11"/>
      <c r="HN117" s="11"/>
      <c r="HO117" s="11"/>
      <c r="HP117" s="11"/>
      <c r="HQ117" s="11"/>
      <c r="HR117" s="11"/>
      <c r="HS117" s="11"/>
      <c r="HT117" s="11"/>
      <c r="HU117" s="11"/>
      <c r="HV117" s="11"/>
      <c r="HW117" s="11"/>
      <c r="HX117" s="11"/>
      <c r="HY117" s="11"/>
      <c r="HZ117" s="11"/>
      <c r="IA117" s="11"/>
      <c r="IB117" s="11"/>
      <c r="IC117" s="11"/>
      <c r="ID117" s="11"/>
      <c r="IE117" s="11"/>
      <c r="IF117" s="11"/>
      <c r="IG117" s="11"/>
      <c r="IH117" s="11"/>
      <c r="II117" s="11"/>
      <c r="IJ117" s="11"/>
      <c r="IK117" s="11"/>
      <c r="IL117" s="11"/>
      <c r="IM117" s="11"/>
      <c r="IN117" s="11"/>
      <c r="IO117" s="11"/>
      <c r="IP117" s="11"/>
      <c r="IQ117" s="11"/>
      <c r="IR117" s="11"/>
      <c r="IS117" s="11"/>
      <c r="IT117" s="11"/>
      <c r="IU117" s="11"/>
      <c r="IV117" s="11"/>
    </row>
    <row r="118" spans="1:256" x14ac:dyDescent="0.3">
      <c r="A118" s="97">
        <v>40648</v>
      </c>
      <c r="B118" s="18" t="s">
        <v>366</v>
      </c>
      <c r="C118" s="11" t="s">
        <v>1258</v>
      </c>
      <c r="D118" s="11" t="s">
        <v>1259</v>
      </c>
      <c r="E118" s="11" t="s">
        <v>310</v>
      </c>
      <c r="F118" s="11" t="s">
        <v>1260</v>
      </c>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c r="DV118" s="11"/>
      <c r="DW118" s="11"/>
      <c r="DX118" s="11"/>
      <c r="DY118" s="11"/>
      <c r="DZ118" s="11"/>
      <c r="EA118" s="11"/>
      <c r="EB118" s="11"/>
      <c r="EC118" s="11"/>
      <c r="ED118" s="11"/>
      <c r="EE118" s="11"/>
      <c r="EF118" s="11"/>
      <c r="EG118" s="11"/>
      <c r="EH118" s="11"/>
      <c r="EI118" s="11"/>
      <c r="EJ118" s="11"/>
      <c r="EK118" s="11"/>
      <c r="EL118" s="11"/>
      <c r="EM118" s="11"/>
      <c r="EN118" s="11"/>
      <c r="EO118" s="11"/>
      <c r="EP118" s="11"/>
      <c r="EQ118" s="11"/>
      <c r="ER118" s="11"/>
      <c r="ES118" s="11"/>
      <c r="ET118" s="11"/>
      <c r="EU118" s="11"/>
      <c r="EV118" s="11"/>
      <c r="EW118" s="11"/>
      <c r="EX118" s="11"/>
      <c r="EY118" s="11"/>
      <c r="EZ118" s="11"/>
      <c r="FA118" s="11"/>
      <c r="FB118" s="11"/>
      <c r="FC118" s="11"/>
      <c r="FD118" s="11"/>
      <c r="FE118" s="11"/>
      <c r="FF118" s="11"/>
      <c r="FG118" s="11"/>
      <c r="FH118" s="11"/>
      <c r="FI118" s="11"/>
      <c r="FJ118" s="11"/>
      <c r="FK118" s="11"/>
      <c r="FL118" s="11"/>
      <c r="FM118" s="11"/>
      <c r="FN118" s="11"/>
      <c r="FO118" s="11"/>
      <c r="FP118" s="11"/>
      <c r="FQ118" s="11"/>
      <c r="FR118" s="11"/>
      <c r="FS118" s="11"/>
      <c r="FT118" s="11"/>
      <c r="FU118" s="11"/>
      <c r="FV118" s="11"/>
      <c r="FW118" s="11"/>
      <c r="FX118" s="11"/>
      <c r="FY118" s="11"/>
      <c r="FZ118" s="11"/>
      <c r="GA118" s="11"/>
      <c r="GB118" s="11"/>
      <c r="GC118" s="11"/>
      <c r="GD118" s="11"/>
      <c r="GE118" s="11"/>
      <c r="GF118" s="11"/>
      <c r="GG118" s="11"/>
      <c r="GH118" s="11"/>
      <c r="GI118" s="11"/>
      <c r="GJ118" s="11"/>
      <c r="GK118" s="11"/>
      <c r="GL118" s="11"/>
      <c r="GM118" s="11"/>
      <c r="GN118" s="11"/>
      <c r="GO118" s="11"/>
      <c r="GP118" s="11"/>
      <c r="GQ118" s="11"/>
      <c r="GR118" s="11"/>
      <c r="GS118" s="11"/>
      <c r="GT118" s="11"/>
      <c r="GU118" s="11"/>
      <c r="GV118" s="11"/>
      <c r="GW118" s="11"/>
      <c r="GX118" s="11"/>
      <c r="GY118" s="11"/>
      <c r="GZ118" s="11"/>
      <c r="HA118" s="11"/>
      <c r="HB118" s="11"/>
      <c r="HC118" s="11"/>
      <c r="HD118" s="11"/>
      <c r="HE118" s="11"/>
      <c r="HF118" s="11"/>
      <c r="HG118" s="11"/>
      <c r="HH118" s="11"/>
      <c r="HI118" s="11"/>
      <c r="HJ118" s="11"/>
      <c r="HK118" s="11"/>
      <c r="HL118" s="11"/>
      <c r="HM118" s="11"/>
      <c r="HN118" s="11"/>
      <c r="HO118" s="11"/>
      <c r="HP118" s="11"/>
      <c r="HQ118" s="11"/>
      <c r="HR118" s="11"/>
      <c r="HS118" s="11"/>
      <c r="HT118" s="11"/>
      <c r="HU118" s="11"/>
      <c r="HV118" s="11"/>
      <c r="HW118" s="11"/>
      <c r="HX118" s="11"/>
      <c r="HY118" s="11"/>
      <c r="HZ118" s="11"/>
      <c r="IA118" s="11"/>
      <c r="IB118" s="11"/>
      <c r="IC118" s="11"/>
      <c r="ID118" s="11"/>
      <c r="IE118" s="11"/>
      <c r="IF118" s="11"/>
      <c r="IG118" s="11"/>
      <c r="IH118" s="11"/>
      <c r="II118" s="11"/>
      <c r="IJ118" s="11"/>
      <c r="IK118" s="11"/>
      <c r="IL118" s="11"/>
      <c r="IM118" s="11"/>
      <c r="IN118" s="11"/>
      <c r="IO118" s="11"/>
      <c r="IP118" s="11"/>
      <c r="IQ118" s="11"/>
      <c r="IR118" s="11"/>
      <c r="IS118" s="11"/>
      <c r="IT118" s="11"/>
      <c r="IU118" s="11"/>
      <c r="IV118" s="11"/>
    </row>
    <row r="119" spans="1:256" s="11" customFormat="1" x14ac:dyDescent="0.3">
      <c r="A119" s="97">
        <v>40648</v>
      </c>
      <c r="B119" s="11" t="s">
        <v>1261</v>
      </c>
      <c r="C119" s="11" t="s">
        <v>1262</v>
      </c>
      <c r="D119" s="11" t="s">
        <v>1263</v>
      </c>
      <c r="E119" s="11" t="s">
        <v>1264</v>
      </c>
      <c r="F119" s="11" t="s">
        <v>1265</v>
      </c>
    </row>
    <row r="120" spans="1:256" s="11" customFormat="1" x14ac:dyDescent="0.3">
      <c r="A120" s="97">
        <v>40648</v>
      </c>
      <c r="B120" s="11" t="s">
        <v>1266</v>
      </c>
      <c r="C120" s="11" t="s">
        <v>1267</v>
      </c>
      <c r="D120" s="11" t="s">
        <v>1268</v>
      </c>
      <c r="E120" s="11" t="s">
        <v>1264</v>
      </c>
      <c r="F120" s="11" t="s">
        <v>1265</v>
      </c>
    </row>
    <row r="121" spans="1:256" s="11" customFormat="1" x14ac:dyDescent="0.3">
      <c r="A121" s="97">
        <v>40648</v>
      </c>
      <c r="B121" s="18" t="s">
        <v>1020</v>
      </c>
      <c r="C121" s="11" t="s">
        <v>1269</v>
      </c>
      <c r="D121" s="11" t="s">
        <v>1270</v>
      </c>
      <c r="E121" s="11" t="s">
        <v>1271</v>
      </c>
      <c r="F121" s="11" t="s">
        <v>1019</v>
      </c>
    </row>
    <row r="122" spans="1:256" s="11" customFormat="1" x14ac:dyDescent="0.3">
      <c r="A122" s="97">
        <v>40648</v>
      </c>
      <c r="B122" s="18" t="s">
        <v>1021</v>
      </c>
      <c r="C122" s="11" t="s">
        <v>1272</v>
      </c>
      <c r="D122" s="11" t="s">
        <v>1270</v>
      </c>
      <c r="E122" s="11" t="s">
        <v>1271</v>
      </c>
      <c r="F122" s="11" t="s">
        <v>1019</v>
      </c>
    </row>
    <row r="123" spans="1:256" s="11" customFormat="1" x14ac:dyDescent="0.3">
      <c r="A123" s="97">
        <v>40648</v>
      </c>
      <c r="B123" s="18" t="s">
        <v>494</v>
      </c>
      <c r="C123" s="11" t="s">
        <v>495</v>
      </c>
      <c r="D123" s="11" t="s">
        <v>454</v>
      </c>
      <c r="E123" s="11" t="s">
        <v>455</v>
      </c>
      <c r="F123" s="11" t="s">
        <v>1019</v>
      </c>
    </row>
    <row r="124" spans="1:256" s="11" customFormat="1" x14ac:dyDescent="0.3">
      <c r="A124" s="97">
        <v>40648</v>
      </c>
      <c r="B124" s="18" t="s">
        <v>496</v>
      </c>
      <c r="C124" s="11" t="s">
        <v>497</v>
      </c>
      <c r="D124" s="11" t="s">
        <v>454</v>
      </c>
      <c r="E124" s="11" t="s">
        <v>455</v>
      </c>
      <c r="F124" s="11" t="s">
        <v>1019</v>
      </c>
    </row>
    <row r="125" spans="1:256" s="11" customFormat="1" x14ac:dyDescent="0.3">
      <c r="A125" s="97">
        <v>40648</v>
      </c>
      <c r="B125" s="18" t="s">
        <v>498</v>
      </c>
      <c r="C125" s="11" t="s">
        <v>499</v>
      </c>
      <c r="D125" s="11" t="s">
        <v>454</v>
      </c>
      <c r="E125" s="11" t="s">
        <v>455</v>
      </c>
      <c r="F125" s="11" t="s">
        <v>1019</v>
      </c>
    </row>
    <row r="126" spans="1:256" s="11" customFormat="1" x14ac:dyDescent="0.3">
      <c r="A126" s="97">
        <v>40648</v>
      </c>
      <c r="B126" s="18" t="s">
        <v>500</v>
      </c>
      <c r="C126" s="11" t="s">
        <v>501</v>
      </c>
      <c r="D126" s="11" t="s">
        <v>454</v>
      </c>
      <c r="E126" s="11" t="s">
        <v>455</v>
      </c>
      <c r="F126" s="11" t="s">
        <v>1019</v>
      </c>
    </row>
    <row r="127" spans="1:256" s="11" customFormat="1" x14ac:dyDescent="0.3">
      <c r="A127" s="117"/>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c r="FT127" s="10"/>
      <c r="FU127" s="10"/>
      <c r="FV127" s="10"/>
      <c r="FW127" s="10"/>
      <c r="FX127" s="10"/>
      <c r="FY127" s="10"/>
      <c r="FZ127" s="10"/>
      <c r="GA127" s="10"/>
      <c r="GB127" s="10"/>
      <c r="GC127" s="10"/>
      <c r="GD127" s="10"/>
      <c r="GE127" s="10"/>
      <c r="GF127" s="10"/>
      <c r="GG127" s="10"/>
      <c r="GH127" s="10"/>
      <c r="GI127" s="10"/>
      <c r="GJ127" s="10"/>
      <c r="GK127" s="10"/>
      <c r="GL127" s="10"/>
      <c r="GM127" s="10"/>
      <c r="GN127" s="10"/>
      <c r="GO127" s="10"/>
      <c r="GP127" s="10"/>
      <c r="GQ127" s="10"/>
      <c r="GR127" s="10"/>
      <c r="GS127" s="10"/>
      <c r="GT127" s="10"/>
      <c r="GU127" s="10"/>
      <c r="GV127" s="10"/>
      <c r="GW127" s="10"/>
      <c r="GX127" s="10"/>
      <c r="GY127" s="10"/>
      <c r="GZ127" s="10"/>
      <c r="HA127" s="10"/>
      <c r="HB127" s="10"/>
      <c r="HC127" s="10"/>
      <c r="HD127" s="10"/>
      <c r="HE127" s="10"/>
      <c r="HF127" s="10"/>
      <c r="HG127" s="10"/>
      <c r="HH127" s="10"/>
      <c r="HI127" s="10"/>
      <c r="HJ127" s="10"/>
      <c r="HK127" s="10"/>
      <c r="HL127" s="10"/>
      <c r="HM127" s="10"/>
      <c r="HN127" s="10"/>
      <c r="HO127" s="10"/>
      <c r="HP127" s="10"/>
      <c r="HQ127" s="10"/>
      <c r="HR127" s="10"/>
      <c r="HS127" s="10"/>
      <c r="HT127" s="10"/>
      <c r="HU127" s="10"/>
      <c r="HV127" s="10"/>
      <c r="HW127" s="10"/>
      <c r="HX127" s="10"/>
      <c r="HY127" s="10"/>
      <c r="HZ127" s="10"/>
      <c r="IA127" s="10"/>
      <c r="IB127" s="10"/>
      <c r="IC127" s="10"/>
      <c r="ID127" s="10"/>
      <c r="IE127" s="10"/>
      <c r="IF127" s="10"/>
      <c r="IG127" s="10"/>
      <c r="IH127" s="10"/>
      <c r="II127" s="10"/>
      <c r="IJ127" s="10"/>
      <c r="IK127" s="10"/>
      <c r="IL127" s="10"/>
      <c r="IM127" s="10"/>
      <c r="IN127" s="10"/>
      <c r="IO127" s="10"/>
      <c r="IP127" s="10"/>
      <c r="IQ127" s="10"/>
      <c r="IR127" s="10"/>
      <c r="IS127" s="10"/>
      <c r="IT127" s="10"/>
      <c r="IU127" s="10"/>
      <c r="IV127" s="10"/>
    </row>
    <row r="128" spans="1:256" s="11" customFormat="1" x14ac:dyDescent="0.3">
      <c r="A128" s="15" t="s">
        <v>3836</v>
      </c>
      <c r="B128" s="6" t="s">
        <v>457</v>
      </c>
      <c r="C128" s="15" t="s">
        <v>28</v>
      </c>
      <c r="D128" s="17"/>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c r="BY128" s="10"/>
      <c r="BZ128" s="10"/>
      <c r="CA128" s="10"/>
      <c r="CB128" s="10"/>
      <c r="CC128" s="10"/>
      <c r="CD128" s="10"/>
      <c r="CE128" s="10"/>
      <c r="CF128" s="10"/>
      <c r="CG128" s="10"/>
      <c r="CH128" s="10"/>
      <c r="CI128" s="10"/>
      <c r="CJ128" s="10"/>
      <c r="CK128" s="10"/>
      <c r="CL128" s="10"/>
      <c r="CM128" s="10"/>
      <c r="CN128" s="10"/>
      <c r="CO128" s="10"/>
      <c r="CP128" s="10"/>
      <c r="CQ128" s="10"/>
      <c r="CR128" s="10"/>
      <c r="CS128" s="10"/>
      <c r="CT128" s="10"/>
      <c r="CU128" s="10"/>
      <c r="CV128" s="10"/>
      <c r="CW128" s="10"/>
      <c r="CX128" s="10"/>
      <c r="CY128" s="10"/>
      <c r="CZ128" s="10"/>
      <c r="DA128" s="10"/>
      <c r="DB128" s="10"/>
      <c r="DC128" s="10"/>
      <c r="DD128" s="10"/>
      <c r="DE128" s="10"/>
      <c r="DF128" s="10"/>
      <c r="DG128" s="10"/>
      <c r="DH128" s="10"/>
      <c r="DI128" s="10"/>
      <c r="DJ128" s="10"/>
      <c r="DK128" s="10"/>
      <c r="DL128" s="10"/>
      <c r="DM128" s="10"/>
      <c r="DN128" s="10"/>
      <c r="DO128" s="10"/>
      <c r="DP128" s="10"/>
      <c r="DQ128" s="10"/>
      <c r="DR128" s="10"/>
      <c r="DS128" s="10"/>
      <c r="DT128" s="10"/>
      <c r="DU128" s="10"/>
      <c r="DV128" s="10"/>
      <c r="DW128" s="10"/>
      <c r="DX128" s="10"/>
      <c r="DY128" s="10"/>
      <c r="DZ128" s="10"/>
      <c r="EA128" s="10"/>
      <c r="EB128" s="10"/>
      <c r="EC128" s="10"/>
      <c r="ED128" s="10"/>
      <c r="EE128" s="10"/>
      <c r="EF128" s="10"/>
      <c r="EG128" s="10"/>
      <c r="EH128" s="10"/>
      <c r="EI128" s="10"/>
      <c r="EJ128" s="10"/>
      <c r="EK128" s="10"/>
      <c r="EL128" s="10"/>
      <c r="EM128" s="10"/>
      <c r="EN128" s="10"/>
      <c r="EO128" s="10"/>
      <c r="EP128" s="10"/>
      <c r="EQ128" s="10"/>
      <c r="ER128" s="10"/>
      <c r="ES128" s="10"/>
      <c r="ET128" s="10"/>
      <c r="EU128" s="10"/>
      <c r="EV128" s="10"/>
      <c r="EW128" s="10"/>
      <c r="EX128" s="10"/>
      <c r="EY128" s="10"/>
      <c r="EZ128" s="10"/>
      <c r="FA128" s="10"/>
      <c r="FB128" s="10"/>
      <c r="FC128" s="10"/>
      <c r="FD128" s="10"/>
      <c r="FE128" s="10"/>
      <c r="FF128" s="10"/>
      <c r="FG128" s="10"/>
      <c r="FH128" s="10"/>
      <c r="FI128" s="10"/>
      <c r="FJ128" s="10"/>
      <c r="FK128" s="10"/>
      <c r="FL128" s="10"/>
      <c r="FM128" s="10"/>
      <c r="FN128" s="10"/>
      <c r="FO128" s="10"/>
      <c r="FP128" s="10"/>
      <c r="FQ128" s="10"/>
      <c r="FR128" s="10"/>
      <c r="FS128" s="10"/>
      <c r="FT128" s="10"/>
      <c r="FU128" s="10"/>
      <c r="FV128" s="10"/>
      <c r="FW128" s="10"/>
      <c r="FX128" s="10"/>
      <c r="FY128" s="10"/>
      <c r="FZ128" s="10"/>
      <c r="GA128" s="10"/>
      <c r="GB128" s="10"/>
      <c r="GC128" s="10"/>
      <c r="GD128" s="10"/>
      <c r="GE128" s="10"/>
      <c r="GF128" s="10"/>
      <c r="GG128" s="10"/>
      <c r="GH128" s="10"/>
      <c r="GI128" s="10"/>
      <c r="GJ128" s="10"/>
      <c r="GK128" s="10"/>
      <c r="GL128" s="10"/>
      <c r="GM128" s="10"/>
      <c r="GN128" s="10"/>
      <c r="GO128" s="10"/>
      <c r="GP128" s="10"/>
      <c r="GQ128" s="10"/>
      <c r="GR128" s="10"/>
      <c r="GS128" s="10"/>
      <c r="GT128" s="10"/>
      <c r="GU128" s="10"/>
      <c r="GV128" s="10"/>
      <c r="GW128" s="10"/>
      <c r="GX128" s="10"/>
      <c r="GY128" s="10"/>
      <c r="GZ128" s="10"/>
      <c r="HA128" s="10"/>
      <c r="HB128" s="10"/>
      <c r="HC128" s="10"/>
      <c r="HD128" s="10"/>
      <c r="HE128" s="10"/>
      <c r="HF128" s="10"/>
      <c r="HG128" s="10"/>
      <c r="HH128" s="10"/>
      <c r="HI128" s="10"/>
      <c r="HJ128" s="10"/>
      <c r="HK128" s="10"/>
      <c r="HL128" s="10"/>
      <c r="HM128" s="10"/>
      <c r="HN128" s="10"/>
      <c r="HO128" s="10"/>
      <c r="HP128" s="10"/>
      <c r="HQ128" s="10"/>
      <c r="HR128" s="10"/>
      <c r="HS128" s="10"/>
      <c r="HT128" s="10"/>
      <c r="HU128" s="10"/>
      <c r="HV128" s="10"/>
      <c r="HW128" s="10"/>
      <c r="HX128" s="10"/>
      <c r="HY128" s="10"/>
      <c r="HZ128" s="10"/>
      <c r="IA128" s="10"/>
      <c r="IB128" s="10"/>
      <c r="IC128" s="10"/>
      <c r="ID128" s="10"/>
      <c r="IE128" s="10"/>
      <c r="IF128" s="10"/>
      <c r="IG128" s="10"/>
      <c r="IH128" s="10"/>
      <c r="II128" s="10"/>
      <c r="IJ128" s="10"/>
      <c r="IK128" s="10"/>
      <c r="IL128" s="10"/>
      <c r="IM128" s="10"/>
      <c r="IN128" s="10"/>
      <c r="IO128" s="10"/>
      <c r="IP128" s="10"/>
      <c r="IQ128" s="10"/>
      <c r="IR128" s="10"/>
      <c r="IS128" s="10"/>
      <c r="IT128" s="10"/>
      <c r="IU128" s="10"/>
      <c r="IV128" s="10"/>
    </row>
    <row r="129" spans="1:256" s="11" customFormat="1" x14ac:dyDescent="0.3">
      <c r="A129" s="97">
        <v>40648</v>
      </c>
      <c r="B129" s="16" t="s">
        <v>1329</v>
      </c>
      <c r="C129" s="18" t="s">
        <v>1330</v>
      </c>
      <c r="D129" s="18"/>
      <c r="E129" s="18"/>
    </row>
    <row r="130" spans="1:256" s="11" customFormat="1" x14ac:dyDescent="0.3">
      <c r="A130" s="97">
        <v>40648</v>
      </c>
      <c r="B130" s="10" t="s">
        <v>746</v>
      </c>
      <c r="C130" s="18" t="s">
        <v>1331</v>
      </c>
      <c r="D130" s="18"/>
    </row>
    <row r="131" spans="1:256" s="11" customFormat="1" x14ac:dyDescent="0.3">
      <c r="A131" s="97">
        <v>40648</v>
      </c>
      <c r="B131" s="16" t="s">
        <v>1332</v>
      </c>
      <c r="C131" s="18" t="s">
        <v>1333</v>
      </c>
      <c r="D131" s="18"/>
      <c r="E131" s="18"/>
    </row>
    <row r="132" spans="1:256" s="11" customFormat="1" x14ac:dyDescent="0.3">
      <c r="A132" s="97">
        <v>40648</v>
      </c>
      <c r="B132" s="16" t="s">
        <v>1334</v>
      </c>
      <c r="C132" s="18" t="s">
        <v>1335</v>
      </c>
      <c r="D132" s="18"/>
      <c r="E132" s="18"/>
    </row>
    <row r="133" spans="1:256" s="11" customFormat="1" x14ac:dyDescent="0.3">
      <c r="A133" s="97">
        <v>40648</v>
      </c>
      <c r="B133" s="16" t="s">
        <v>1336</v>
      </c>
      <c r="C133" s="18" t="s">
        <v>1337</v>
      </c>
      <c r="D133" s="18"/>
      <c r="E133" s="18"/>
    </row>
    <row r="134" spans="1:256" s="11" customFormat="1" x14ac:dyDescent="0.3">
      <c r="A134" s="97">
        <v>40648</v>
      </c>
      <c r="B134" s="16" t="s">
        <v>1338</v>
      </c>
      <c r="C134" s="18" t="s">
        <v>1339</v>
      </c>
      <c r="D134" s="18"/>
      <c r="E134" s="18"/>
    </row>
    <row r="135" spans="1:256" s="11" customFormat="1" x14ac:dyDescent="0.3">
      <c r="A135" s="97">
        <v>40648</v>
      </c>
      <c r="B135" s="16" t="s">
        <v>1340</v>
      </c>
      <c r="C135" s="18" t="s">
        <v>1341</v>
      </c>
      <c r="D135" s="18"/>
      <c r="E135" s="18"/>
    </row>
    <row r="136" spans="1:256" s="11" customFormat="1" x14ac:dyDescent="0.3">
      <c r="A136" s="97">
        <v>40648</v>
      </c>
      <c r="B136" s="16" t="s">
        <v>1342</v>
      </c>
      <c r="C136" s="18" t="s">
        <v>1343</v>
      </c>
      <c r="D136" s="18"/>
      <c r="E136" s="18"/>
    </row>
    <row r="137" spans="1:256" s="11" customFormat="1" x14ac:dyDescent="0.3">
      <c r="A137" s="97">
        <v>40648</v>
      </c>
      <c r="B137" s="16" t="s">
        <v>1344</v>
      </c>
      <c r="C137" s="18" t="s">
        <v>1345</v>
      </c>
      <c r="D137" s="18"/>
      <c r="E137" s="18"/>
    </row>
    <row r="138" spans="1:256" s="11" customFormat="1" x14ac:dyDescent="0.3">
      <c r="A138" s="97">
        <v>40648</v>
      </c>
      <c r="B138" s="16" t="s">
        <v>1346</v>
      </c>
      <c r="C138" s="18" t="s">
        <v>1347</v>
      </c>
      <c r="D138" s="18"/>
      <c r="E138" s="18"/>
    </row>
    <row r="139" spans="1:256" s="11" customFormat="1" x14ac:dyDescent="0.3">
      <c r="A139" s="97">
        <v>40648</v>
      </c>
      <c r="B139" s="16" t="s">
        <v>1348</v>
      </c>
      <c r="C139" s="18" t="s">
        <v>1349</v>
      </c>
      <c r="D139" s="18"/>
      <c r="E139" s="18"/>
    </row>
    <row r="140" spans="1:256" s="11" customFormat="1" x14ac:dyDescent="0.3">
      <c r="A140" s="97">
        <v>40648</v>
      </c>
      <c r="B140" s="16" t="s">
        <v>1350</v>
      </c>
      <c r="C140" s="18" t="s">
        <v>1351</v>
      </c>
      <c r="D140" s="18"/>
      <c r="E140" s="18"/>
    </row>
    <row r="141" spans="1:256" s="11" customFormat="1" x14ac:dyDescent="0.3">
      <c r="A141" s="97">
        <v>40648</v>
      </c>
      <c r="B141" s="16" t="s">
        <v>1352</v>
      </c>
      <c r="C141" s="18" t="s">
        <v>1353</v>
      </c>
      <c r="D141" s="18"/>
      <c r="E141" s="18"/>
    </row>
    <row r="142" spans="1:256" x14ac:dyDescent="0.3">
      <c r="A142" s="97">
        <v>40648</v>
      </c>
      <c r="B142" s="16" t="s">
        <v>1354</v>
      </c>
      <c r="C142" s="18" t="s">
        <v>1355</v>
      </c>
      <c r="D142" s="18"/>
      <c r="E142" s="18"/>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c r="CJ142" s="11"/>
      <c r="CK142" s="11"/>
      <c r="CL142" s="11"/>
      <c r="CM142" s="11"/>
      <c r="CN142" s="11"/>
      <c r="CO142" s="11"/>
      <c r="CP142" s="11"/>
      <c r="CQ142" s="11"/>
      <c r="CR142" s="11"/>
      <c r="CS142" s="11"/>
      <c r="CT142" s="11"/>
      <c r="CU142" s="11"/>
      <c r="CV142" s="11"/>
      <c r="CW142" s="11"/>
      <c r="CX142" s="11"/>
      <c r="CY142" s="11"/>
      <c r="CZ142" s="11"/>
      <c r="DA142" s="11"/>
      <c r="DB142" s="11"/>
      <c r="DC142" s="11"/>
      <c r="DD142" s="11"/>
      <c r="DE142" s="11"/>
      <c r="DF142" s="11"/>
      <c r="DG142" s="11"/>
      <c r="DH142" s="11"/>
      <c r="DI142" s="11"/>
      <c r="DJ142" s="11"/>
      <c r="DK142" s="11"/>
      <c r="DL142" s="11"/>
      <c r="DM142" s="11"/>
      <c r="DN142" s="11"/>
      <c r="DO142" s="11"/>
      <c r="DP142" s="11"/>
      <c r="DQ142" s="11"/>
      <c r="DR142" s="11"/>
      <c r="DS142" s="11"/>
      <c r="DT142" s="11"/>
      <c r="DU142" s="11"/>
      <c r="DV142" s="11"/>
      <c r="DW142" s="11"/>
      <c r="DX142" s="11"/>
      <c r="DY142" s="11"/>
      <c r="DZ142" s="11"/>
      <c r="EA142" s="11"/>
      <c r="EB142" s="11"/>
      <c r="EC142" s="11"/>
      <c r="ED142" s="11"/>
      <c r="EE142" s="11"/>
      <c r="EF142" s="11"/>
      <c r="EG142" s="11"/>
      <c r="EH142" s="11"/>
      <c r="EI142" s="11"/>
      <c r="EJ142" s="11"/>
      <c r="EK142" s="11"/>
      <c r="EL142" s="11"/>
      <c r="EM142" s="11"/>
      <c r="EN142" s="11"/>
      <c r="EO142" s="11"/>
      <c r="EP142" s="11"/>
      <c r="EQ142" s="11"/>
      <c r="ER142" s="11"/>
      <c r="ES142" s="11"/>
      <c r="ET142" s="11"/>
      <c r="EU142" s="11"/>
      <c r="EV142" s="11"/>
      <c r="EW142" s="11"/>
      <c r="EX142" s="11"/>
      <c r="EY142" s="11"/>
      <c r="EZ142" s="11"/>
      <c r="FA142" s="11"/>
      <c r="FB142" s="11"/>
      <c r="FC142" s="11"/>
      <c r="FD142" s="11"/>
      <c r="FE142" s="11"/>
      <c r="FF142" s="11"/>
      <c r="FG142" s="11"/>
      <c r="FH142" s="11"/>
      <c r="FI142" s="11"/>
      <c r="FJ142" s="11"/>
      <c r="FK142" s="11"/>
      <c r="FL142" s="11"/>
      <c r="FM142" s="11"/>
      <c r="FN142" s="11"/>
      <c r="FO142" s="11"/>
      <c r="FP142" s="11"/>
      <c r="FQ142" s="11"/>
      <c r="FR142" s="11"/>
      <c r="FS142" s="11"/>
      <c r="FT142" s="11"/>
      <c r="FU142" s="11"/>
      <c r="FV142" s="11"/>
      <c r="FW142" s="11"/>
      <c r="FX142" s="11"/>
      <c r="FY142" s="11"/>
      <c r="FZ142" s="11"/>
      <c r="GA142" s="11"/>
      <c r="GB142" s="11"/>
      <c r="GC142" s="11"/>
      <c r="GD142" s="11"/>
      <c r="GE142" s="11"/>
      <c r="GF142" s="11"/>
      <c r="GG142" s="11"/>
      <c r="GH142" s="11"/>
      <c r="GI142" s="11"/>
      <c r="GJ142" s="11"/>
      <c r="GK142" s="11"/>
      <c r="GL142" s="11"/>
      <c r="GM142" s="11"/>
      <c r="GN142" s="11"/>
      <c r="GO142" s="11"/>
      <c r="GP142" s="11"/>
      <c r="GQ142" s="11"/>
      <c r="GR142" s="11"/>
      <c r="GS142" s="11"/>
      <c r="GT142" s="11"/>
      <c r="GU142" s="11"/>
      <c r="GV142" s="11"/>
      <c r="GW142" s="11"/>
      <c r="GX142" s="11"/>
      <c r="GY142" s="11"/>
      <c r="GZ142" s="11"/>
      <c r="HA142" s="11"/>
      <c r="HB142" s="11"/>
      <c r="HC142" s="11"/>
      <c r="HD142" s="11"/>
      <c r="HE142" s="11"/>
      <c r="HF142" s="11"/>
      <c r="HG142" s="11"/>
      <c r="HH142" s="11"/>
      <c r="HI142" s="11"/>
      <c r="HJ142" s="11"/>
      <c r="HK142" s="11"/>
      <c r="HL142" s="11"/>
      <c r="HM142" s="11"/>
      <c r="HN142" s="11"/>
      <c r="HO142" s="11"/>
      <c r="HP142" s="11"/>
      <c r="HQ142" s="11"/>
      <c r="HR142" s="11"/>
      <c r="HS142" s="11"/>
      <c r="HT142" s="11"/>
      <c r="HU142" s="11"/>
      <c r="HV142" s="11"/>
      <c r="HW142" s="11"/>
      <c r="HX142" s="11"/>
      <c r="HY142" s="11"/>
      <c r="HZ142" s="11"/>
      <c r="IA142" s="11"/>
      <c r="IB142" s="11"/>
      <c r="IC142" s="11"/>
      <c r="ID142" s="11"/>
      <c r="IE142" s="11"/>
      <c r="IF142" s="11"/>
      <c r="IG142" s="11"/>
      <c r="IH142" s="11"/>
      <c r="II142" s="11"/>
      <c r="IJ142" s="11"/>
      <c r="IK142" s="11"/>
      <c r="IL142" s="11"/>
      <c r="IM142" s="11"/>
      <c r="IN142" s="11"/>
      <c r="IO142" s="11"/>
      <c r="IP142" s="11"/>
      <c r="IQ142" s="11"/>
      <c r="IR142" s="11"/>
      <c r="IS142" s="11"/>
      <c r="IT142" s="11"/>
      <c r="IU142" s="11"/>
      <c r="IV142" s="11"/>
    </row>
    <row r="143" spans="1:256" x14ac:dyDescent="0.3">
      <c r="A143" s="97">
        <v>40648</v>
      </c>
      <c r="B143" s="16" t="s">
        <v>1356</v>
      </c>
      <c r="C143" s="18" t="s">
        <v>1357</v>
      </c>
      <c r="D143" s="18"/>
      <c r="E143" s="18"/>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c r="CJ143" s="11"/>
      <c r="CK143" s="11"/>
      <c r="CL143" s="11"/>
      <c r="CM143" s="11"/>
      <c r="CN143" s="11"/>
      <c r="CO143" s="11"/>
      <c r="CP143" s="11"/>
      <c r="CQ143" s="11"/>
      <c r="CR143" s="11"/>
      <c r="CS143" s="11"/>
      <c r="CT143" s="11"/>
      <c r="CU143" s="11"/>
      <c r="CV143" s="11"/>
      <c r="CW143" s="11"/>
      <c r="CX143" s="11"/>
      <c r="CY143" s="11"/>
      <c r="CZ143" s="11"/>
      <c r="DA143" s="11"/>
      <c r="DB143" s="11"/>
      <c r="DC143" s="11"/>
      <c r="DD143" s="11"/>
      <c r="DE143" s="11"/>
      <c r="DF143" s="11"/>
      <c r="DG143" s="11"/>
      <c r="DH143" s="11"/>
      <c r="DI143" s="11"/>
      <c r="DJ143" s="11"/>
      <c r="DK143" s="11"/>
      <c r="DL143" s="11"/>
      <c r="DM143" s="11"/>
      <c r="DN143" s="11"/>
      <c r="DO143" s="11"/>
      <c r="DP143" s="11"/>
      <c r="DQ143" s="11"/>
      <c r="DR143" s="11"/>
      <c r="DS143" s="11"/>
      <c r="DT143" s="11"/>
      <c r="DU143" s="11"/>
      <c r="DV143" s="11"/>
      <c r="DW143" s="11"/>
      <c r="DX143" s="11"/>
      <c r="DY143" s="11"/>
      <c r="DZ143" s="11"/>
      <c r="EA143" s="11"/>
      <c r="EB143" s="11"/>
      <c r="EC143" s="11"/>
      <c r="ED143" s="11"/>
      <c r="EE143" s="11"/>
      <c r="EF143" s="11"/>
      <c r="EG143" s="11"/>
      <c r="EH143" s="11"/>
      <c r="EI143" s="11"/>
      <c r="EJ143" s="11"/>
      <c r="EK143" s="11"/>
      <c r="EL143" s="11"/>
      <c r="EM143" s="11"/>
      <c r="EN143" s="11"/>
      <c r="EO143" s="11"/>
      <c r="EP143" s="11"/>
      <c r="EQ143" s="11"/>
      <c r="ER143" s="11"/>
      <c r="ES143" s="11"/>
      <c r="ET143" s="11"/>
      <c r="EU143" s="11"/>
      <c r="EV143" s="11"/>
      <c r="EW143" s="11"/>
      <c r="EX143" s="11"/>
      <c r="EY143" s="11"/>
      <c r="EZ143" s="11"/>
      <c r="FA143" s="11"/>
      <c r="FB143" s="11"/>
      <c r="FC143" s="11"/>
      <c r="FD143" s="11"/>
      <c r="FE143" s="11"/>
      <c r="FF143" s="11"/>
      <c r="FG143" s="11"/>
      <c r="FH143" s="11"/>
      <c r="FI143" s="11"/>
      <c r="FJ143" s="11"/>
      <c r="FK143" s="11"/>
      <c r="FL143" s="11"/>
      <c r="FM143" s="11"/>
      <c r="FN143" s="11"/>
      <c r="FO143" s="11"/>
      <c r="FP143" s="11"/>
      <c r="FQ143" s="11"/>
      <c r="FR143" s="11"/>
      <c r="FS143" s="11"/>
      <c r="FT143" s="11"/>
      <c r="FU143" s="11"/>
      <c r="FV143" s="11"/>
      <c r="FW143" s="11"/>
      <c r="FX143" s="11"/>
      <c r="FY143" s="11"/>
      <c r="FZ143" s="11"/>
      <c r="GA143" s="11"/>
      <c r="GB143" s="11"/>
      <c r="GC143" s="11"/>
      <c r="GD143" s="11"/>
      <c r="GE143" s="11"/>
      <c r="GF143" s="11"/>
      <c r="GG143" s="11"/>
      <c r="GH143" s="11"/>
      <c r="GI143" s="11"/>
      <c r="GJ143" s="11"/>
      <c r="GK143" s="11"/>
      <c r="GL143" s="11"/>
      <c r="GM143" s="11"/>
      <c r="GN143" s="11"/>
      <c r="GO143" s="11"/>
      <c r="GP143" s="11"/>
      <c r="GQ143" s="11"/>
      <c r="GR143" s="11"/>
      <c r="GS143" s="11"/>
      <c r="GT143" s="11"/>
      <c r="GU143" s="11"/>
      <c r="GV143" s="11"/>
      <c r="GW143" s="11"/>
      <c r="GX143" s="11"/>
      <c r="GY143" s="11"/>
      <c r="GZ143" s="11"/>
      <c r="HA143" s="11"/>
      <c r="HB143" s="11"/>
      <c r="HC143" s="11"/>
      <c r="HD143" s="11"/>
      <c r="HE143" s="11"/>
      <c r="HF143" s="11"/>
      <c r="HG143" s="11"/>
      <c r="HH143" s="11"/>
      <c r="HI143" s="11"/>
      <c r="HJ143" s="11"/>
      <c r="HK143" s="11"/>
      <c r="HL143" s="11"/>
      <c r="HM143" s="11"/>
      <c r="HN143" s="11"/>
      <c r="HO143" s="11"/>
      <c r="HP143" s="11"/>
      <c r="HQ143" s="11"/>
      <c r="HR143" s="11"/>
      <c r="HS143" s="11"/>
      <c r="HT143" s="11"/>
      <c r="HU143" s="11"/>
      <c r="HV143" s="11"/>
      <c r="HW143" s="11"/>
      <c r="HX143" s="11"/>
      <c r="HY143" s="11"/>
      <c r="HZ143" s="11"/>
      <c r="IA143" s="11"/>
      <c r="IB143" s="11"/>
      <c r="IC143" s="11"/>
      <c r="ID143" s="11"/>
      <c r="IE143" s="11"/>
      <c r="IF143" s="11"/>
      <c r="IG143" s="11"/>
      <c r="IH143" s="11"/>
      <c r="II143" s="11"/>
      <c r="IJ143" s="11"/>
      <c r="IK143" s="11"/>
      <c r="IL143" s="11"/>
      <c r="IM143" s="11"/>
      <c r="IN143" s="11"/>
      <c r="IO143" s="11"/>
      <c r="IP143" s="11"/>
      <c r="IQ143" s="11"/>
      <c r="IR143" s="11"/>
      <c r="IS143" s="11"/>
      <c r="IT143" s="11"/>
      <c r="IU143" s="11"/>
      <c r="IV143" s="11"/>
    </row>
    <row r="144" spans="1:256" x14ac:dyDescent="0.3">
      <c r="A144" s="97">
        <v>40648</v>
      </c>
      <c r="B144" s="16" t="s">
        <v>1358</v>
      </c>
      <c r="C144" s="18" t="s">
        <v>1359</v>
      </c>
      <c r="D144" s="18"/>
      <c r="E144" s="18"/>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c r="CJ144" s="11"/>
      <c r="CK144" s="11"/>
      <c r="CL144" s="11"/>
      <c r="CM144" s="11"/>
      <c r="CN144" s="11"/>
      <c r="CO144" s="11"/>
      <c r="CP144" s="11"/>
      <c r="CQ144" s="11"/>
      <c r="CR144" s="11"/>
      <c r="CS144" s="11"/>
      <c r="CT144" s="11"/>
      <c r="CU144" s="11"/>
      <c r="CV144" s="11"/>
      <c r="CW144" s="11"/>
      <c r="CX144" s="11"/>
      <c r="CY144" s="11"/>
      <c r="CZ144" s="11"/>
      <c r="DA144" s="11"/>
      <c r="DB144" s="11"/>
      <c r="DC144" s="11"/>
      <c r="DD144" s="11"/>
      <c r="DE144" s="11"/>
      <c r="DF144" s="11"/>
      <c r="DG144" s="11"/>
      <c r="DH144" s="11"/>
      <c r="DI144" s="11"/>
      <c r="DJ144" s="11"/>
      <c r="DK144" s="11"/>
      <c r="DL144" s="11"/>
      <c r="DM144" s="11"/>
      <c r="DN144" s="11"/>
      <c r="DO144" s="11"/>
      <c r="DP144" s="11"/>
      <c r="DQ144" s="11"/>
      <c r="DR144" s="11"/>
      <c r="DS144" s="11"/>
      <c r="DT144" s="11"/>
      <c r="DU144" s="11"/>
      <c r="DV144" s="11"/>
      <c r="DW144" s="11"/>
      <c r="DX144" s="11"/>
      <c r="DY144" s="11"/>
      <c r="DZ144" s="11"/>
      <c r="EA144" s="11"/>
      <c r="EB144" s="11"/>
      <c r="EC144" s="11"/>
      <c r="ED144" s="11"/>
      <c r="EE144" s="11"/>
      <c r="EF144" s="11"/>
      <c r="EG144" s="11"/>
      <c r="EH144" s="11"/>
      <c r="EI144" s="11"/>
      <c r="EJ144" s="11"/>
      <c r="EK144" s="11"/>
      <c r="EL144" s="11"/>
      <c r="EM144" s="11"/>
      <c r="EN144" s="11"/>
      <c r="EO144" s="11"/>
      <c r="EP144" s="11"/>
      <c r="EQ144" s="11"/>
      <c r="ER144" s="11"/>
      <c r="ES144" s="11"/>
      <c r="ET144" s="11"/>
      <c r="EU144" s="11"/>
      <c r="EV144" s="11"/>
      <c r="EW144" s="11"/>
      <c r="EX144" s="11"/>
      <c r="EY144" s="11"/>
      <c r="EZ144" s="11"/>
      <c r="FA144" s="11"/>
      <c r="FB144" s="11"/>
      <c r="FC144" s="11"/>
      <c r="FD144" s="11"/>
      <c r="FE144" s="11"/>
      <c r="FF144" s="11"/>
      <c r="FG144" s="11"/>
      <c r="FH144" s="11"/>
      <c r="FI144" s="11"/>
      <c r="FJ144" s="11"/>
      <c r="FK144" s="11"/>
      <c r="FL144" s="11"/>
      <c r="FM144" s="11"/>
      <c r="FN144" s="11"/>
      <c r="FO144" s="11"/>
      <c r="FP144" s="11"/>
      <c r="FQ144" s="11"/>
      <c r="FR144" s="11"/>
      <c r="FS144" s="11"/>
      <c r="FT144" s="11"/>
      <c r="FU144" s="11"/>
      <c r="FV144" s="11"/>
      <c r="FW144" s="11"/>
      <c r="FX144" s="11"/>
      <c r="FY144" s="11"/>
      <c r="FZ144" s="11"/>
      <c r="GA144" s="11"/>
      <c r="GB144" s="11"/>
      <c r="GC144" s="11"/>
      <c r="GD144" s="11"/>
      <c r="GE144" s="11"/>
      <c r="GF144" s="11"/>
      <c r="GG144" s="11"/>
      <c r="GH144" s="11"/>
      <c r="GI144" s="11"/>
      <c r="GJ144" s="11"/>
      <c r="GK144" s="11"/>
      <c r="GL144" s="11"/>
      <c r="GM144" s="11"/>
      <c r="GN144" s="11"/>
      <c r="GO144" s="11"/>
      <c r="GP144" s="11"/>
      <c r="GQ144" s="11"/>
      <c r="GR144" s="11"/>
      <c r="GS144" s="11"/>
      <c r="GT144" s="11"/>
      <c r="GU144" s="11"/>
      <c r="GV144" s="11"/>
      <c r="GW144" s="11"/>
      <c r="GX144" s="11"/>
      <c r="GY144" s="11"/>
      <c r="GZ144" s="11"/>
      <c r="HA144" s="11"/>
      <c r="HB144" s="11"/>
      <c r="HC144" s="11"/>
      <c r="HD144" s="11"/>
      <c r="HE144" s="11"/>
      <c r="HF144" s="11"/>
      <c r="HG144" s="11"/>
      <c r="HH144" s="11"/>
      <c r="HI144" s="11"/>
      <c r="HJ144" s="11"/>
      <c r="HK144" s="11"/>
      <c r="HL144" s="11"/>
      <c r="HM144" s="11"/>
      <c r="HN144" s="11"/>
      <c r="HO144" s="11"/>
      <c r="HP144" s="11"/>
      <c r="HQ144" s="11"/>
      <c r="HR144" s="11"/>
      <c r="HS144" s="11"/>
      <c r="HT144" s="11"/>
      <c r="HU144" s="11"/>
      <c r="HV144" s="11"/>
      <c r="HW144" s="11"/>
      <c r="HX144" s="11"/>
      <c r="HY144" s="11"/>
      <c r="HZ144" s="11"/>
      <c r="IA144" s="11"/>
      <c r="IB144" s="11"/>
      <c r="IC144" s="11"/>
      <c r="ID144" s="11"/>
      <c r="IE144" s="11"/>
      <c r="IF144" s="11"/>
      <c r="IG144" s="11"/>
      <c r="IH144" s="11"/>
      <c r="II144" s="11"/>
      <c r="IJ144" s="11"/>
      <c r="IK144" s="11"/>
      <c r="IL144" s="11"/>
      <c r="IM144" s="11"/>
      <c r="IN144" s="11"/>
      <c r="IO144" s="11"/>
      <c r="IP144" s="11"/>
      <c r="IQ144" s="11"/>
      <c r="IR144" s="11"/>
      <c r="IS144" s="11"/>
      <c r="IT144" s="11"/>
      <c r="IU144" s="11"/>
      <c r="IV144" s="11"/>
    </row>
    <row r="145" spans="1:256" x14ac:dyDescent="0.3">
      <c r="A145" s="97">
        <v>40648</v>
      </c>
      <c r="B145" s="16" t="s">
        <v>1360</v>
      </c>
      <c r="C145" s="18" t="s">
        <v>1361</v>
      </c>
      <c r="D145" s="18"/>
      <c r="E145" s="18"/>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11"/>
      <c r="CP145" s="11"/>
      <c r="CQ145" s="11"/>
      <c r="CR145" s="11"/>
      <c r="CS145" s="11"/>
      <c r="CT145" s="11"/>
      <c r="CU145" s="11"/>
      <c r="CV145" s="11"/>
      <c r="CW145" s="11"/>
      <c r="CX145" s="11"/>
      <c r="CY145" s="11"/>
      <c r="CZ145" s="11"/>
      <c r="DA145" s="11"/>
      <c r="DB145" s="11"/>
      <c r="DC145" s="11"/>
      <c r="DD145" s="11"/>
      <c r="DE145" s="11"/>
      <c r="DF145" s="11"/>
      <c r="DG145" s="11"/>
      <c r="DH145" s="11"/>
      <c r="DI145" s="11"/>
      <c r="DJ145" s="11"/>
      <c r="DK145" s="11"/>
      <c r="DL145" s="11"/>
      <c r="DM145" s="11"/>
      <c r="DN145" s="11"/>
      <c r="DO145" s="11"/>
      <c r="DP145" s="11"/>
      <c r="DQ145" s="11"/>
      <c r="DR145" s="11"/>
      <c r="DS145" s="11"/>
      <c r="DT145" s="11"/>
      <c r="DU145" s="11"/>
      <c r="DV145" s="11"/>
      <c r="DW145" s="11"/>
      <c r="DX145" s="11"/>
      <c r="DY145" s="11"/>
      <c r="DZ145" s="11"/>
      <c r="EA145" s="11"/>
      <c r="EB145" s="11"/>
      <c r="EC145" s="11"/>
      <c r="ED145" s="11"/>
      <c r="EE145" s="11"/>
      <c r="EF145" s="11"/>
      <c r="EG145" s="11"/>
      <c r="EH145" s="11"/>
      <c r="EI145" s="11"/>
      <c r="EJ145" s="11"/>
      <c r="EK145" s="11"/>
      <c r="EL145" s="11"/>
      <c r="EM145" s="11"/>
      <c r="EN145" s="11"/>
      <c r="EO145" s="11"/>
      <c r="EP145" s="11"/>
      <c r="EQ145" s="11"/>
      <c r="ER145" s="11"/>
      <c r="ES145" s="11"/>
      <c r="ET145" s="11"/>
      <c r="EU145" s="11"/>
      <c r="EV145" s="11"/>
      <c r="EW145" s="11"/>
      <c r="EX145" s="11"/>
      <c r="EY145" s="11"/>
      <c r="EZ145" s="11"/>
      <c r="FA145" s="11"/>
      <c r="FB145" s="11"/>
      <c r="FC145" s="11"/>
      <c r="FD145" s="11"/>
      <c r="FE145" s="11"/>
      <c r="FF145" s="11"/>
      <c r="FG145" s="11"/>
      <c r="FH145" s="11"/>
      <c r="FI145" s="11"/>
      <c r="FJ145" s="11"/>
      <c r="FK145" s="11"/>
      <c r="FL145" s="11"/>
      <c r="FM145" s="11"/>
      <c r="FN145" s="11"/>
      <c r="FO145" s="11"/>
      <c r="FP145" s="11"/>
      <c r="FQ145" s="11"/>
      <c r="FR145" s="11"/>
      <c r="FS145" s="11"/>
      <c r="FT145" s="11"/>
      <c r="FU145" s="11"/>
      <c r="FV145" s="11"/>
      <c r="FW145" s="11"/>
      <c r="FX145" s="11"/>
      <c r="FY145" s="11"/>
      <c r="FZ145" s="11"/>
      <c r="GA145" s="11"/>
      <c r="GB145" s="11"/>
      <c r="GC145" s="11"/>
      <c r="GD145" s="11"/>
      <c r="GE145" s="11"/>
      <c r="GF145" s="11"/>
      <c r="GG145" s="11"/>
      <c r="GH145" s="11"/>
      <c r="GI145" s="11"/>
      <c r="GJ145" s="11"/>
      <c r="GK145" s="11"/>
      <c r="GL145" s="11"/>
      <c r="GM145" s="11"/>
      <c r="GN145" s="11"/>
      <c r="GO145" s="11"/>
      <c r="GP145" s="11"/>
      <c r="GQ145" s="11"/>
      <c r="GR145" s="11"/>
      <c r="GS145" s="11"/>
      <c r="GT145" s="11"/>
      <c r="GU145" s="11"/>
      <c r="GV145" s="11"/>
      <c r="GW145" s="11"/>
      <c r="GX145" s="11"/>
      <c r="GY145" s="11"/>
      <c r="GZ145" s="11"/>
      <c r="HA145" s="11"/>
      <c r="HB145" s="11"/>
      <c r="HC145" s="11"/>
      <c r="HD145" s="11"/>
      <c r="HE145" s="11"/>
      <c r="HF145" s="11"/>
      <c r="HG145" s="11"/>
      <c r="HH145" s="11"/>
      <c r="HI145" s="11"/>
      <c r="HJ145" s="11"/>
      <c r="HK145" s="11"/>
      <c r="HL145" s="11"/>
      <c r="HM145" s="11"/>
      <c r="HN145" s="11"/>
      <c r="HO145" s="11"/>
      <c r="HP145" s="11"/>
      <c r="HQ145" s="11"/>
      <c r="HR145" s="11"/>
      <c r="HS145" s="11"/>
      <c r="HT145" s="11"/>
      <c r="HU145" s="11"/>
      <c r="HV145" s="11"/>
      <c r="HW145" s="11"/>
      <c r="HX145" s="11"/>
      <c r="HY145" s="11"/>
      <c r="HZ145" s="11"/>
      <c r="IA145" s="11"/>
      <c r="IB145" s="11"/>
      <c r="IC145" s="11"/>
      <c r="ID145" s="11"/>
      <c r="IE145" s="11"/>
      <c r="IF145" s="11"/>
      <c r="IG145" s="11"/>
      <c r="IH145" s="11"/>
      <c r="II145" s="11"/>
      <c r="IJ145" s="11"/>
      <c r="IK145" s="11"/>
      <c r="IL145" s="11"/>
      <c r="IM145" s="11"/>
      <c r="IN145" s="11"/>
      <c r="IO145" s="11"/>
      <c r="IP145" s="11"/>
      <c r="IQ145" s="11"/>
      <c r="IR145" s="11"/>
      <c r="IS145" s="11"/>
      <c r="IT145" s="11"/>
      <c r="IU145" s="11"/>
      <c r="IV145" s="11"/>
    </row>
    <row r="146" spans="1:256" x14ac:dyDescent="0.3">
      <c r="A146" s="97">
        <v>40648</v>
      </c>
      <c r="B146" s="16" t="s">
        <v>1362</v>
      </c>
      <c r="C146" s="18" t="s">
        <v>1363</v>
      </c>
      <c r="D146" s="18"/>
      <c r="E146" s="18"/>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11"/>
      <c r="CG146" s="11"/>
      <c r="CH146" s="11"/>
      <c r="CI146" s="11"/>
      <c r="CJ146" s="11"/>
      <c r="CK146" s="11"/>
      <c r="CL146" s="11"/>
      <c r="CM146" s="11"/>
      <c r="CN146" s="11"/>
      <c r="CO146" s="11"/>
      <c r="CP146" s="11"/>
      <c r="CQ146" s="11"/>
      <c r="CR146" s="11"/>
      <c r="CS146" s="11"/>
      <c r="CT146" s="11"/>
      <c r="CU146" s="11"/>
      <c r="CV146" s="11"/>
      <c r="CW146" s="11"/>
      <c r="CX146" s="11"/>
      <c r="CY146" s="11"/>
      <c r="CZ146" s="11"/>
      <c r="DA146" s="11"/>
      <c r="DB146" s="11"/>
      <c r="DC146" s="11"/>
      <c r="DD146" s="11"/>
      <c r="DE146" s="11"/>
      <c r="DF146" s="11"/>
      <c r="DG146" s="11"/>
      <c r="DH146" s="11"/>
      <c r="DI146" s="11"/>
      <c r="DJ146" s="11"/>
      <c r="DK146" s="11"/>
      <c r="DL146" s="11"/>
      <c r="DM146" s="11"/>
      <c r="DN146" s="11"/>
      <c r="DO146" s="11"/>
      <c r="DP146" s="11"/>
      <c r="DQ146" s="11"/>
      <c r="DR146" s="11"/>
      <c r="DS146" s="11"/>
      <c r="DT146" s="11"/>
      <c r="DU146" s="11"/>
      <c r="DV146" s="11"/>
      <c r="DW146" s="11"/>
      <c r="DX146" s="11"/>
      <c r="DY146" s="11"/>
      <c r="DZ146" s="11"/>
      <c r="EA146" s="11"/>
      <c r="EB146" s="11"/>
      <c r="EC146" s="11"/>
      <c r="ED146" s="11"/>
      <c r="EE146" s="11"/>
      <c r="EF146" s="11"/>
      <c r="EG146" s="11"/>
      <c r="EH146" s="11"/>
      <c r="EI146" s="11"/>
      <c r="EJ146" s="11"/>
      <c r="EK146" s="11"/>
      <c r="EL146" s="11"/>
      <c r="EM146" s="11"/>
      <c r="EN146" s="11"/>
      <c r="EO146" s="11"/>
      <c r="EP146" s="11"/>
      <c r="EQ146" s="11"/>
      <c r="ER146" s="11"/>
      <c r="ES146" s="11"/>
      <c r="ET146" s="11"/>
      <c r="EU146" s="11"/>
      <c r="EV146" s="11"/>
      <c r="EW146" s="11"/>
      <c r="EX146" s="11"/>
      <c r="EY146" s="11"/>
      <c r="EZ146" s="11"/>
      <c r="FA146" s="11"/>
      <c r="FB146" s="11"/>
      <c r="FC146" s="11"/>
      <c r="FD146" s="11"/>
      <c r="FE146" s="11"/>
      <c r="FF146" s="11"/>
      <c r="FG146" s="11"/>
      <c r="FH146" s="11"/>
      <c r="FI146" s="11"/>
      <c r="FJ146" s="11"/>
      <c r="FK146" s="11"/>
      <c r="FL146" s="11"/>
      <c r="FM146" s="11"/>
      <c r="FN146" s="11"/>
      <c r="FO146" s="11"/>
      <c r="FP146" s="11"/>
      <c r="FQ146" s="11"/>
      <c r="FR146" s="11"/>
      <c r="FS146" s="11"/>
      <c r="FT146" s="11"/>
      <c r="FU146" s="11"/>
      <c r="FV146" s="11"/>
      <c r="FW146" s="11"/>
      <c r="FX146" s="11"/>
      <c r="FY146" s="11"/>
      <c r="FZ146" s="11"/>
      <c r="GA146" s="11"/>
      <c r="GB146" s="11"/>
      <c r="GC146" s="11"/>
      <c r="GD146" s="11"/>
      <c r="GE146" s="11"/>
      <c r="GF146" s="11"/>
      <c r="GG146" s="11"/>
      <c r="GH146" s="11"/>
      <c r="GI146" s="11"/>
      <c r="GJ146" s="11"/>
      <c r="GK146" s="11"/>
      <c r="GL146" s="11"/>
      <c r="GM146" s="11"/>
      <c r="GN146" s="11"/>
      <c r="GO146" s="11"/>
      <c r="GP146" s="11"/>
      <c r="GQ146" s="11"/>
      <c r="GR146" s="11"/>
      <c r="GS146" s="11"/>
      <c r="GT146" s="11"/>
      <c r="GU146" s="11"/>
      <c r="GV146" s="11"/>
      <c r="GW146" s="11"/>
      <c r="GX146" s="11"/>
      <c r="GY146" s="11"/>
      <c r="GZ146" s="11"/>
      <c r="HA146" s="11"/>
      <c r="HB146" s="11"/>
      <c r="HC146" s="11"/>
      <c r="HD146" s="11"/>
      <c r="HE146" s="11"/>
      <c r="HF146" s="11"/>
      <c r="HG146" s="11"/>
      <c r="HH146" s="11"/>
      <c r="HI146" s="11"/>
      <c r="HJ146" s="11"/>
      <c r="HK146" s="11"/>
      <c r="HL146" s="11"/>
      <c r="HM146" s="11"/>
      <c r="HN146" s="11"/>
      <c r="HO146" s="11"/>
      <c r="HP146" s="11"/>
      <c r="HQ146" s="11"/>
      <c r="HR146" s="11"/>
      <c r="HS146" s="11"/>
      <c r="HT146" s="11"/>
      <c r="HU146" s="11"/>
      <c r="HV146" s="11"/>
      <c r="HW146" s="11"/>
      <c r="HX146" s="11"/>
      <c r="HY146" s="11"/>
      <c r="HZ146" s="11"/>
      <c r="IA146" s="11"/>
      <c r="IB146" s="11"/>
      <c r="IC146" s="11"/>
      <c r="ID146" s="11"/>
      <c r="IE146" s="11"/>
      <c r="IF146" s="11"/>
      <c r="IG146" s="11"/>
      <c r="IH146" s="11"/>
      <c r="II146" s="11"/>
      <c r="IJ146" s="11"/>
      <c r="IK146" s="11"/>
      <c r="IL146" s="11"/>
      <c r="IM146" s="11"/>
      <c r="IN146" s="11"/>
      <c r="IO146" s="11"/>
      <c r="IP146" s="11"/>
      <c r="IQ146" s="11"/>
      <c r="IR146" s="11"/>
      <c r="IS146" s="11"/>
      <c r="IT146" s="11"/>
      <c r="IU146" s="11"/>
      <c r="IV146" s="11"/>
    </row>
    <row r="147" spans="1:256" x14ac:dyDescent="0.3">
      <c r="A147" s="97">
        <v>40648</v>
      </c>
      <c r="B147" s="16" t="s">
        <v>1364</v>
      </c>
      <c r="C147" s="18" t="s">
        <v>1365</v>
      </c>
      <c r="D147" s="18"/>
      <c r="E147" s="18"/>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c r="CJ147" s="11"/>
      <c r="CK147" s="11"/>
      <c r="CL147" s="11"/>
      <c r="CM147" s="11"/>
      <c r="CN147" s="11"/>
      <c r="CO147" s="11"/>
      <c r="CP147" s="11"/>
      <c r="CQ147" s="11"/>
      <c r="CR147" s="11"/>
      <c r="CS147" s="11"/>
      <c r="CT147" s="11"/>
      <c r="CU147" s="11"/>
      <c r="CV147" s="11"/>
      <c r="CW147" s="11"/>
      <c r="CX147" s="11"/>
      <c r="CY147" s="11"/>
      <c r="CZ147" s="11"/>
      <c r="DA147" s="11"/>
      <c r="DB147" s="11"/>
      <c r="DC147" s="11"/>
      <c r="DD147" s="11"/>
      <c r="DE147" s="11"/>
      <c r="DF147" s="11"/>
      <c r="DG147" s="11"/>
      <c r="DH147" s="11"/>
      <c r="DI147" s="11"/>
      <c r="DJ147" s="11"/>
      <c r="DK147" s="11"/>
      <c r="DL147" s="11"/>
      <c r="DM147" s="11"/>
      <c r="DN147" s="11"/>
      <c r="DO147" s="11"/>
      <c r="DP147" s="11"/>
      <c r="DQ147" s="11"/>
      <c r="DR147" s="11"/>
      <c r="DS147" s="11"/>
      <c r="DT147" s="11"/>
      <c r="DU147" s="11"/>
      <c r="DV147" s="11"/>
      <c r="DW147" s="11"/>
      <c r="DX147" s="11"/>
      <c r="DY147" s="11"/>
      <c r="DZ147" s="11"/>
      <c r="EA147" s="11"/>
      <c r="EB147" s="11"/>
      <c r="EC147" s="11"/>
      <c r="ED147" s="11"/>
      <c r="EE147" s="11"/>
      <c r="EF147" s="11"/>
      <c r="EG147" s="11"/>
      <c r="EH147" s="11"/>
      <c r="EI147" s="11"/>
      <c r="EJ147" s="11"/>
      <c r="EK147" s="11"/>
      <c r="EL147" s="11"/>
      <c r="EM147" s="11"/>
      <c r="EN147" s="11"/>
      <c r="EO147" s="11"/>
      <c r="EP147" s="11"/>
      <c r="EQ147" s="11"/>
      <c r="ER147" s="11"/>
      <c r="ES147" s="11"/>
      <c r="ET147" s="11"/>
      <c r="EU147" s="11"/>
      <c r="EV147" s="11"/>
      <c r="EW147" s="11"/>
      <c r="EX147" s="11"/>
      <c r="EY147" s="11"/>
      <c r="EZ147" s="11"/>
      <c r="FA147" s="11"/>
      <c r="FB147" s="11"/>
      <c r="FC147" s="11"/>
      <c r="FD147" s="11"/>
      <c r="FE147" s="11"/>
      <c r="FF147" s="11"/>
      <c r="FG147" s="11"/>
      <c r="FH147" s="11"/>
      <c r="FI147" s="11"/>
      <c r="FJ147" s="11"/>
      <c r="FK147" s="11"/>
      <c r="FL147" s="11"/>
      <c r="FM147" s="11"/>
      <c r="FN147" s="11"/>
      <c r="FO147" s="11"/>
      <c r="FP147" s="11"/>
      <c r="FQ147" s="11"/>
      <c r="FR147" s="11"/>
      <c r="FS147" s="11"/>
      <c r="FT147" s="11"/>
      <c r="FU147" s="11"/>
      <c r="FV147" s="11"/>
      <c r="FW147" s="11"/>
      <c r="FX147" s="11"/>
      <c r="FY147" s="11"/>
      <c r="FZ147" s="11"/>
      <c r="GA147" s="11"/>
      <c r="GB147" s="11"/>
      <c r="GC147" s="11"/>
      <c r="GD147" s="11"/>
      <c r="GE147" s="11"/>
      <c r="GF147" s="11"/>
      <c r="GG147" s="11"/>
      <c r="GH147" s="11"/>
      <c r="GI147" s="11"/>
      <c r="GJ147" s="11"/>
      <c r="GK147" s="11"/>
      <c r="GL147" s="11"/>
      <c r="GM147" s="11"/>
      <c r="GN147" s="11"/>
      <c r="GO147" s="11"/>
      <c r="GP147" s="11"/>
      <c r="GQ147" s="11"/>
      <c r="GR147" s="11"/>
      <c r="GS147" s="11"/>
      <c r="GT147" s="11"/>
      <c r="GU147" s="11"/>
      <c r="GV147" s="11"/>
      <c r="GW147" s="11"/>
      <c r="GX147" s="11"/>
      <c r="GY147" s="11"/>
      <c r="GZ147" s="11"/>
      <c r="HA147" s="11"/>
      <c r="HB147" s="11"/>
      <c r="HC147" s="11"/>
      <c r="HD147" s="11"/>
      <c r="HE147" s="11"/>
      <c r="HF147" s="11"/>
      <c r="HG147" s="11"/>
      <c r="HH147" s="11"/>
      <c r="HI147" s="11"/>
      <c r="HJ147" s="11"/>
      <c r="HK147" s="11"/>
      <c r="HL147" s="11"/>
      <c r="HM147" s="11"/>
      <c r="HN147" s="11"/>
      <c r="HO147" s="11"/>
      <c r="HP147" s="11"/>
      <c r="HQ147" s="11"/>
      <c r="HR147" s="11"/>
      <c r="HS147" s="11"/>
      <c r="HT147" s="11"/>
      <c r="HU147" s="11"/>
      <c r="HV147" s="11"/>
      <c r="HW147" s="11"/>
      <c r="HX147" s="11"/>
      <c r="HY147" s="11"/>
      <c r="HZ147" s="11"/>
      <c r="IA147" s="11"/>
      <c r="IB147" s="11"/>
      <c r="IC147" s="11"/>
      <c r="ID147" s="11"/>
      <c r="IE147" s="11"/>
      <c r="IF147" s="11"/>
      <c r="IG147" s="11"/>
      <c r="IH147" s="11"/>
      <c r="II147" s="11"/>
      <c r="IJ147" s="11"/>
      <c r="IK147" s="11"/>
      <c r="IL147" s="11"/>
      <c r="IM147" s="11"/>
      <c r="IN147" s="11"/>
      <c r="IO147" s="11"/>
      <c r="IP147" s="11"/>
      <c r="IQ147" s="11"/>
      <c r="IR147" s="11"/>
      <c r="IS147" s="11"/>
      <c r="IT147" s="11"/>
      <c r="IU147" s="11"/>
      <c r="IV147" s="11"/>
    </row>
    <row r="148" spans="1:256" x14ac:dyDescent="0.3">
      <c r="A148" s="97">
        <v>40648</v>
      </c>
      <c r="B148" s="16" t="s">
        <v>1366</v>
      </c>
      <c r="C148" s="18" t="s">
        <v>1367</v>
      </c>
      <c r="D148" s="18"/>
      <c r="E148" s="18"/>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11"/>
      <c r="CG148" s="11"/>
      <c r="CH148" s="11"/>
      <c r="CI148" s="11"/>
      <c r="CJ148" s="11"/>
      <c r="CK148" s="11"/>
      <c r="CL148" s="11"/>
      <c r="CM148" s="11"/>
      <c r="CN148" s="11"/>
      <c r="CO148" s="11"/>
      <c r="CP148" s="11"/>
      <c r="CQ148" s="11"/>
      <c r="CR148" s="11"/>
      <c r="CS148" s="11"/>
      <c r="CT148" s="11"/>
      <c r="CU148" s="11"/>
      <c r="CV148" s="11"/>
      <c r="CW148" s="11"/>
      <c r="CX148" s="11"/>
      <c r="CY148" s="11"/>
      <c r="CZ148" s="11"/>
      <c r="DA148" s="11"/>
      <c r="DB148" s="11"/>
      <c r="DC148" s="11"/>
      <c r="DD148" s="11"/>
      <c r="DE148" s="11"/>
      <c r="DF148" s="11"/>
      <c r="DG148" s="11"/>
      <c r="DH148" s="11"/>
      <c r="DI148" s="11"/>
      <c r="DJ148" s="11"/>
      <c r="DK148" s="11"/>
      <c r="DL148" s="11"/>
      <c r="DM148" s="11"/>
      <c r="DN148" s="11"/>
      <c r="DO148" s="11"/>
      <c r="DP148" s="11"/>
      <c r="DQ148" s="11"/>
      <c r="DR148" s="11"/>
      <c r="DS148" s="11"/>
      <c r="DT148" s="11"/>
      <c r="DU148" s="11"/>
      <c r="DV148" s="11"/>
      <c r="DW148" s="11"/>
      <c r="DX148" s="11"/>
      <c r="DY148" s="11"/>
      <c r="DZ148" s="11"/>
      <c r="EA148" s="11"/>
      <c r="EB148" s="11"/>
      <c r="EC148" s="11"/>
      <c r="ED148" s="11"/>
      <c r="EE148" s="11"/>
      <c r="EF148" s="11"/>
      <c r="EG148" s="11"/>
      <c r="EH148" s="11"/>
      <c r="EI148" s="11"/>
      <c r="EJ148" s="11"/>
      <c r="EK148" s="11"/>
      <c r="EL148" s="11"/>
      <c r="EM148" s="11"/>
      <c r="EN148" s="11"/>
      <c r="EO148" s="11"/>
      <c r="EP148" s="11"/>
      <c r="EQ148" s="11"/>
      <c r="ER148" s="11"/>
      <c r="ES148" s="11"/>
      <c r="ET148" s="11"/>
      <c r="EU148" s="11"/>
      <c r="EV148" s="11"/>
      <c r="EW148" s="11"/>
      <c r="EX148" s="11"/>
      <c r="EY148" s="11"/>
      <c r="EZ148" s="11"/>
      <c r="FA148" s="11"/>
      <c r="FB148" s="11"/>
      <c r="FC148" s="11"/>
      <c r="FD148" s="11"/>
      <c r="FE148" s="11"/>
      <c r="FF148" s="11"/>
      <c r="FG148" s="11"/>
      <c r="FH148" s="11"/>
      <c r="FI148" s="11"/>
      <c r="FJ148" s="11"/>
      <c r="FK148" s="11"/>
      <c r="FL148" s="11"/>
      <c r="FM148" s="11"/>
      <c r="FN148" s="11"/>
      <c r="FO148" s="11"/>
      <c r="FP148" s="11"/>
      <c r="FQ148" s="11"/>
      <c r="FR148" s="11"/>
      <c r="FS148" s="11"/>
      <c r="FT148" s="11"/>
      <c r="FU148" s="11"/>
      <c r="FV148" s="11"/>
      <c r="FW148" s="11"/>
      <c r="FX148" s="11"/>
      <c r="FY148" s="11"/>
      <c r="FZ148" s="11"/>
      <c r="GA148" s="11"/>
      <c r="GB148" s="11"/>
      <c r="GC148" s="11"/>
      <c r="GD148" s="11"/>
      <c r="GE148" s="11"/>
      <c r="GF148" s="11"/>
      <c r="GG148" s="11"/>
      <c r="GH148" s="11"/>
      <c r="GI148" s="11"/>
      <c r="GJ148" s="11"/>
      <c r="GK148" s="11"/>
      <c r="GL148" s="11"/>
      <c r="GM148" s="11"/>
      <c r="GN148" s="11"/>
      <c r="GO148" s="11"/>
      <c r="GP148" s="11"/>
      <c r="GQ148" s="11"/>
      <c r="GR148" s="11"/>
      <c r="GS148" s="11"/>
      <c r="GT148" s="11"/>
      <c r="GU148" s="11"/>
      <c r="GV148" s="11"/>
      <c r="GW148" s="11"/>
      <c r="GX148" s="11"/>
      <c r="GY148" s="11"/>
      <c r="GZ148" s="11"/>
      <c r="HA148" s="11"/>
      <c r="HB148" s="11"/>
      <c r="HC148" s="11"/>
      <c r="HD148" s="11"/>
      <c r="HE148" s="11"/>
      <c r="HF148" s="11"/>
      <c r="HG148" s="11"/>
      <c r="HH148" s="11"/>
      <c r="HI148" s="11"/>
      <c r="HJ148" s="11"/>
      <c r="HK148" s="11"/>
      <c r="HL148" s="11"/>
      <c r="HM148" s="11"/>
      <c r="HN148" s="11"/>
      <c r="HO148" s="11"/>
      <c r="HP148" s="11"/>
      <c r="HQ148" s="11"/>
      <c r="HR148" s="11"/>
      <c r="HS148" s="11"/>
      <c r="HT148" s="11"/>
      <c r="HU148" s="11"/>
      <c r="HV148" s="11"/>
      <c r="HW148" s="11"/>
      <c r="HX148" s="11"/>
      <c r="HY148" s="11"/>
      <c r="HZ148" s="11"/>
      <c r="IA148" s="11"/>
      <c r="IB148" s="11"/>
      <c r="IC148" s="11"/>
      <c r="ID148" s="11"/>
      <c r="IE148" s="11"/>
      <c r="IF148" s="11"/>
      <c r="IG148" s="11"/>
      <c r="IH148" s="11"/>
      <c r="II148" s="11"/>
      <c r="IJ148" s="11"/>
      <c r="IK148" s="11"/>
      <c r="IL148" s="11"/>
      <c r="IM148" s="11"/>
      <c r="IN148" s="11"/>
      <c r="IO148" s="11"/>
      <c r="IP148" s="11"/>
      <c r="IQ148" s="11"/>
      <c r="IR148" s="11"/>
      <c r="IS148" s="11"/>
      <c r="IT148" s="11"/>
      <c r="IU148" s="11"/>
      <c r="IV148" s="11"/>
    </row>
    <row r="149" spans="1:256" x14ac:dyDescent="0.3">
      <c r="A149" s="97">
        <v>40648</v>
      </c>
      <c r="B149" s="16" t="s">
        <v>1368</v>
      </c>
      <c r="C149" s="18" t="s">
        <v>1369</v>
      </c>
      <c r="D149" s="18"/>
      <c r="E149" s="18"/>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U149" s="11"/>
      <c r="CV149" s="11"/>
      <c r="CW149" s="11"/>
      <c r="CX149" s="11"/>
      <c r="CY149" s="11"/>
      <c r="CZ149" s="11"/>
      <c r="DA149" s="11"/>
      <c r="DB149" s="11"/>
      <c r="DC149" s="11"/>
      <c r="DD149" s="11"/>
      <c r="DE149" s="11"/>
      <c r="DF149" s="11"/>
      <c r="DG149" s="11"/>
      <c r="DH149" s="11"/>
      <c r="DI149" s="11"/>
      <c r="DJ149" s="11"/>
      <c r="DK149" s="11"/>
      <c r="DL149" s="11"/>
      <c r="DM149" s="11"/>
      <c r="DN149" s="11"/>
      <c r="DO149" s="11"/>
      <c r="DP149" s="11"/>
      <c r="DQ149" s="11"/>
      <c r="DR149" s="11"/>
      <c r="DS149" s="11"/>
      <c r="DT149" s="11"/>
      <c r="DU149" s="11"/>
      <c r="DV149" s="11"/>
      <c r="DW149" s="11"/>
      <c r="DX149" s="11"/>
      <c r="DY149" s="11"/>
      <c r="DZ149" s="11"/>
      <c r="EA149" s="11"/>
      <c r="EB149" s="11"/>
      <c r="EC149" s="11"/>
      <c r="ED149" s="11"/>
      <c r="EE149" s="11"/>
      <c r="EF149" s="11"/>
      <c r="EG149" s="11"/>
      <c r="EH149" s="11"/>
      <c r="EI149" s="11"/>
      <c r="EJ149" s="11"/>
      <c r="EK149" s="11"/>
      <c r="EL149" s="11"/>
      <c r="EM149" s="11"/>
      <c r="EN149" s="11"/>
      <c r="EO149" s="11"/>
      <c r="EP149" s="11"/>
      <c r="EQ149" s="11"/>
      <c r="ER149" s="11"/>
      <c r="ES149" s="11"/>
      <c r="ET149" s="11"/>
      <c r="EU149" s="11"/>
      <c r="EV149" s="11"/>
      <c r="EW149" s="11"/>
      <c r="EX149" s="11"/>
      <c r="EY149" s="11"/>
      <c r="EZ149" s="11"/>
      <c r="FA149" s="11"/>
      <c r="FB149" s="11"/>
      <c r="FC149" s="11"/>
      <c r="FD149" s="11"/>
      <c r="FE149" s="11"/>
      <c r="FF149" s="11"/>
      <c r="FG149" s="11"/>
      <c r="FH149" s="11"/>
      <c r="FI149" s="11"/>
      <c r="FJ149" s="11"/>
      <c r="FK149" s="11"/>
      <c r="FL149" s="11"/>
      <c r="FM149" s="11"/>
      <c r="FN149" s="11"/>
      <c r="FO149" s="11"/>
      <c r="FP149" s="11"/>
      <c r="FQ149" s="11"/>
      <c r="FR149" s="11"/>
      <c r="FS149" s="11"/>
      <c r="FT149" s="11"/>
      <c r="FU149" s="11"/>
      <c r="FV149" s="11"/>
      <c r="FW149" s="11"/>
      <c r="FX149" s="11"/>
      <c r="FY149" s="11"/>
      <c r="FZ149" s="11"/>
      <c r="GA149" s="11"/>
      <c r="GB149" s="11"/>
      <c r="GC149" s="11"/>
      <c r="GD149" s="11"/>
      <c r="GE149" s="11"/>
      <c r="GF149" s="11"/>
      <c r="GG149" s="11"/>
      <c r="GH149" s="11"/>
      <c r="GI149" s="11"/>
      <c r="GJ149" s="11"/>
      <c r="GK149" s="11"/>
      <c r="GL149" s="11"/>
      <c r="GM149" s="11"/>
      <c r="GN149" s="11"/>
      <c r="GO149" s="11"/>
      <c r="GP149" s="11"/>
      <c r="GQ149" s="11"/>
      <c r="GR149" s="11"/>
      <c r="GS149" s="11"/>
      <c r="GT149" s="11"/>
      <c r="GU149" s="11"/>
      <c r="GV149" s="11"/>
      <c r="GW149" s="11"/>
      <c r="GX149" s="11"/>
      <c r="GY149" s="11"/>
      <c r="GZ149" s="11"/>
      <c r="HA149" s="11"/>
      <c r="HB149" s="11"/>
      <c r="HC149" s="11"/>
      <c r="HD149" s="11"/>
      <c r="HE149" s="11"/>
      <c r="HF149" s="11"/>
      <c r="HG149" s="11"/>
      <c r="HH149" s="11"/>
      <c r="HI149" s="11"/>
      <c r="HJ149" s="11"/>
      <c r="HK149" s="11"/>
      <c r="HL149" s="11"/>
      <c r="HM149" s="11"/>
      <c r="HN149" s="11"/>
      <c r="HO149" s="11"/>
      <c r="HP149" s="11"/>
      <c r="HQ149" s="11"/>
      <c r="HR149" s="11"/>
      <c r="HS149" s="11"/>
      <c r="HT149" s="11"/>
      <c r="HU149" s="11"/>
      <c r="HV149" s="11"/>
      <c r="HW149" s="11"/>
      <c r="HX149" s="11"/>
      <c r="HY149" s="11"/>
      <c r="HZ149" s="11"/>
      <c r="IA149" s="11"/>
      <c r="IB149" s="11"/>
      <c r="IC149" s="11"/>
      <c r="ID149" s="11"/>
      <c r="IE149" s="11"/>
      <c r="IF149" s="11"/>
      <c r="IG149" s="11"/>
      <c r="IH149" s="11"/>
      <c r="II149" s="11"/>
      <c r="IJ149" s="11"/>
      <c r="IK149" s="11"/>
      <c r="IL149" s="11"/>
      <c r="IM149" s="11"/>
      <c r="IN149" s="11"/>
      <c r="IO149" s="11"/>
      <c r="IP149" s="11"/>
      <c r="IQ149" s="11"/>
      <c r="IR149" s="11"/>
      <c r="IS149" s="11"/>
      <c r="IT149" s="11"/>
      <c r="IU149" s="11"/>
      <c r="IV149" s="11"/>
    </row>
    <row r="150" spans="1:256" x14ac:dyDescent="0.3">
      <c r="A150" s="97">
        <v>40648</v>
      </c>
      <c r="B150" s="16" t="s">
        <v>1370</v>
      </c>
      <c r="C150" s="18" t="s">
        <v>1371</v>
      </c>
      <c r="D150" s="18"/>
      <c r="E150" s="18"/>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c r="CJ150" s="11"/>
      <c r="CK150" s="11"/>
      <c r="CL150" s="11"/>
      <c r="CM150" s="11"/>
      <c r="CN150" s="11"/>
      <c r="CO150" s="11"/>
      <c r="CP150" s="11"/>
      <c r="CQ150" s="11"/>
      <c r="CR150" s="11"/>
      <c r="CS150" s="11"/>
      <c r="CT150" s="11"/>
      <c r="CU150" s="11"/>
      <c r="CV150" s="11"/>
      <c r="CW150" s="11"/>
      <c r="CX150" s="11"/>
      <c r="CY150" s="11"/>
      <c r="CZ150" s="11"/>
      <c r="DA150" s="11"/>
      <c r="DB150" s="11"/>
      <c r="DC150" s="11"/>
      <c r="DD150" s="11"/>
      <c r="DE150" s="11"/>
      <c r="DF150" s="11"/>
      <c r="DG150" s="11"/>
      <c r="DH150" s="11"/>
      <c r="DI150" s="11"/>
      <c r="DJ150" s="11"/>
      <c r="DK150" s="11"/>
      <c r="DL150" s="11"/>
      <c r="DM150" s="11"/>
      <c r="DN150" s="11"/>
      <c r="DO150" s="11"/>
      <c r="DP150" s="11"/>
      <c r="DQ150" s="11"/>
      <c r="DR150" s="11"/>
      <c r="DS150" s="11"/>
      <c r="DT150" s="11"/>
      <c r="DU150" s="11"/>
      <c r="DV150" s="11"/>
      <c r="DW150" s="11"/>
      <c r="DX150" s="11"/>
      <c r="DY150" s="11"/>
      <c r="DZ150" s="11"/>
      <c r="EA150" s="11"/>
      <c r="EB150" s="11"/>
      <c r="EC150" s="11"/>
      <c r="ED150" s="11"/>
      <c r="EE150" s="11"/>
      <c r="EF150" s="11"/>
      <c r="EG150" s="11"/>
      <c r="EH150" s="11"/>
      <c r="EI150" s="11"/>
      <c r="EJ150" s="11"/>
      <c r="EK150" s="11"/>
      <c r="EL150" s="11"/>
      <c r="EM150" s="11"/>
      <c r="EN150" s="11"/>
      <c r="EO150" s="11"/>
      <c r="EP150" s="11"/>
      <c r="EQ150" s="11"/>
      <c r="ER150" s="11"/>
      <c r="ES150" s="11"/>
      <c r="ET150" s="11"/>
      <c r="EU150" s="11"/>
      <c r="EV150" s="11"/>
      <c r="EW150" s="11"/>
      <c r="EX150" s="11"/>
      <c r="EY150" s="11"/>
      <c r="EZ150" s="11"/>
      <c r="FA150" s="11"/>
      <c r="FB150" s="11"/>
      <c r="FC150" s="11"/>
      <c r="FD150" s="11"/>
      <c r="FE150" s="11"/>
      <c r="FF150" s="11"/>
      <c r="FG150" s="11"/>
      <c r="FH150" s="11"/>
      <c r="FI150" s="11"/>
      <c r="FJ150" s="11"/>
      <c r="FK150" s="11"/>
      <c r="FL150" s="11"/>
      <c r="FM150" s="11"/>
      <c r="FN150" s="11"/>
      <c r="FO150" s="11"/>
      <c r="FP150" s="11"/>
      <c r="FQ150" s="11"/>
      <c r="FR150" s="11"/>
      <c r="FS150" s="11"/>
      <c r="FT150" s="11"/>
      <c r="FU150" s="11"/>
      <c r="FV150" s="11"/>
      <c r="FW150" s="11"/>
      <c r="FX150" s="11"/>
      <c r="FY150" s="11"/>
      <c r="FZ150" s="11"/>
      <c r="GA150" s="11"/>
      <c r="GB150" s="11"/>
      <c r="GC150" s="11"/>
      <c r="GD150" s="11"/>
      <c r="GE150" s="11"/>
      <c r="GF150" s="11"/>
      <c r="GG150" s="11"/>
      <c r="GH150" s="11"/>
      <c r="GI150" s="11"/>
      <c r="GJ150" s="11"/>
      <c r="GK150" s="11"/>
      <c r="GL150" s="11"/>
      <c r="GM150" s="11"/>
      <c r="GN150" s="11"/>
      <c r="GO150" s="11"/>
      <c r="GP150" s="11"/>
      <c r="GQ150" s="11"/>
      <c r="GR150" s="11"/>
      <c r="GS150" s="11"/>
      <c r="GT150" s="11"/>
      <c r="GU150" s="11"/>
      <c r="GV150" s="11"/>
      <c r="GW150" s="11"/>
      <c r="GX150" s="11"/>
      <c r="GY150" s="11"/>
      <c r="GZ150" s="11"/>
      <c r="HA150" s="11"/>
      <c r="HB150" s="11"/>
      <c r="HC150" s="11"/>
      <c r="HD150" s="11"/>
      <c r="HE150" s="11"/>
      <c r="HF150" s="11"/>
      <c r="HG150" s="11"/>
      <c r="HH150" s="11"/>
      <c r="HI150" s="11"/>
      <c r="HJ150" s="11"/>
      <c r="HK150" s="11"/>
      <c r="HL150" s="11"/>
      <c r="HM150" s="11"/>
      <c r="HN150" s="11"/>
      <c r="HO150" s="11"/>
      <c r="HP150" s="11"/>
      <c r="HQ150" s="11"/>
      <c r="HR150" s="11"/>
      <c r="HS150" s="11"/>
      <c r="HT150" s="11"/>
      <c r="HU150" s="11"/>
      <c r="HV150" s="11"/>
      <c r="HW150" s="11"/>
      <c r="HX150" s="11"/>
      <c r="HY150" s="11"/>
      <c r="HZ150" s="11"/>
      <c r="IA150" s="11"/>
      <c r="IB150" s="11"/>
      <c r="IC150" s="11"/>
      <c r="ID150" s="11"/>
      <c r="IE150" s="11"/>
      <c r="IF150" s="11"/>
      <c r="IG150" s="11"/>
      <c r="IH150" s="11"/>
      <c r="II150" s="11"/>
      <c r="IJ150" s="11"/>
      <c r="IK150" s="11"/>
      <c r="IL150" s="11"/>
      <c r="IM150" s="11"/>
      <c r="IN150" s="11"/>
      <c r="IO150" s="11"/>
      <c r="IP150" s="11"/>
      <c r="IQ150" s="11"/>
      <c r="IR150" s="11"/>
      <c r="IS150" s="11"/>
      <c r="IT150" s="11"/>
      <c r="IU150" s="11"/>
      <c r="IV150" s="11"/>
    </row>
    <row r="151" spans="1:256" x14ac:dyDescent="0.3">
      <c r="D151" s="13"/>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11"/>
      <c r="CP151" s="11"/>
      <c r="CQ151" s="11"/>
      <c r="CR151" s="11"/>
      <c r="CS151" s="11"/>
      <c r="CT151" s="11"/>
      <c r="CU151" s="11"/>
      <c r="CV151" s="11"/>
      <c r="CW151" s="11"/>
      <c r="CX151" s="11"/>
      <c r="CY151" s="11"/>
      <c r="CZ151" s="11"/>
      <c r="DA151" s="11"/>
      <c r="DB151" s="11"/>
      <c r="DC151" s="11"/>
      <c r="DD151" s="11"/>
      <c r="DE151" s="11"/>
      <c r="DF151" s="11"/>
      <c r="DG151" s="11"/>
      <c r="DH151" s="11"/>
      <c r="DI151" s="11"/>
      <c r="DJ151" s="11"/>
      <c r="DK151" s="11"/>
      <c r="DL151" s="11"/>
      <c r="DM151" s="11"/>
      <c r="DN151" s="11"/>
      <c r="DO151" s="11"/>
      <c r="DP151" s="11"/>
      <c r="DQ151" s="11"/>
      <c r="DR151" s="11"/>
      <c r="DS151" s="11"/>
      <c r="DT151" s="11"/>
      <c r="DU151" s="11"/>
      <c r="DV151" s="11"/>
      <c r="DW151" s="11"/>
      <c r="DX151" s="11"/>
      <c r="DY151" s="11"/>
      <c r="DZ151" s="11"/>
      <c r="EA151" s="11"/>
      <c r="EB151" s="11"/>
      <c r="EC151" s="11"/>
      <c r="ED151" s="11"/>
      <c r="EE151" s="11"/>
      <c r="EF151" s="11"/>
      <c r="EG151" s="11"/>
      <c r="EH151" s="11"/>
      <c r="EI151" s="11"/>
      <c r="EJ151" s="11"/>
      <c r="EK151" s="11"/>
      <c r="EL151" s="11"/>
      <c r="EM151" s="11"/>
      <c r="EN151" s="11"/>
      <c r="EO151" s="11"/>
      <c r="EP151" s="11"/>
      <c r="EQ151" s="11"/>
      <c r="ER151" s="11"/>
      <c r="ES151" s="11"/>
      <c r="ET151" s="11"/>
      <c r="EU151" s="11"/>
      <c r="EV151" s="11"/>
      <c r="EW151" s="11"/>
      <c r="EX151" s="11"/>
      <c r="EY151" s="11"/>
      <c r="EZ151" s="11"/>
      <c r="FA151" s="11"/>
      <c r="FB151" s="11"/>
      <c r="FC151" s="11"/>
      <c r="FD151" s="11"/>
      <c r="FE151" s="11"/>
      <c r="FF151" s="11"/>
      <c r="FG151" s="11"/>
      <c r="FH151" s="11"/>
      <c r="FI151" s="11"/>
      <c r="FJ151" s="11"/>
      <c r="FK151" s="11"/>
      <c r="FL151" s="11"/>
      <c r="FM151" s="11"/>
      <c r="FN151" s="11"/>
      <c r="FO151" s="11"/>
      <c r="FP151" s="11"/>
      <c r="FQ151" s="11"/>
      <c r="FR151" s="11"/>
      <c r="FS151" s="11"/>
      <c r="FT151" s="11"/>
      <c r="FU151" s="11"/>
      <c r="FV151" s="11"/>
      <c r="FW151" s="11"/>
      <c r="FX151" s="11"/>
      <c r="FY151" s="11"/>
      <c r="FZ151" s="11"/>
      <c r="GA151" s="11"/>
      <c r="GB151" s="11"/>
      <c r="GC151" s="11"/>
      <c r="GD151" s="11"/>
      <c r="GE151" s="11"/>
      <c r="GF151" s="11"/>
      <c r="GG151" s="11"/>
      <c r="GH151" s="11"/>
      <c r="GI151" s="11"/>
      <c r="GJ151" s="11"/>
      <c r="GK151" s="11"/>
      <c r="GL151" s="11"/>
      <c r="GM151" s="11"/>
      <c r="GN151" s="11"/>
      <c r="GO151" s="11"/>
      <c r="GP151" s="11"/>
      <c r="GQ151" s="11"/>
      <c r="GR151" s="11"/>
      <c r="GS151" s="11"/>
      <c r="GT151" s="11"/>
      <c r="GU151" s="11"/>
      <c r="GV151" s="11"/>
      <c r="GW151" s="11"/>
      <c r="GX151" s="11"/>
      <c r="GY151" s="11"/>
      <c r="GZ151" s="11"/>
      <c r="HA151" s="11"/>
      <c r="HB151" s="11"/>
      <c r="HC151" s="11"/>
      <c r="HD151" s="11"/>
      <c r="HE151" s="11"/>
      <c r="HF151" s="11"/>
      <c r="HG151" s="11"/>
      <c r="HH151" s="11"/>
      <c r="HI151" s="11"/>
      <c r="HJ151" s="11"/>
      <c r="HK151" s="11"/>
      <c r="HL151" s="11"/>
      <c r="HM151" s="11"/>
      <c r="HN151" s="11"/>
      <c r="HO151" s="11"/>
      <c r="HP151" s="11"/>
      <c r="HQ151" s="11"/>
      <c r="HR151" s="11"/>
      <c r="HS151" s="11"/>
      <c r="HT151" s="11"/>
      <c r="HU151" s="11"/>
      <c r="HV151" s="11"/>
      <c r="HW151" s="11"/>
      <c r="HX151" s="11"/>
      <c r="HY151" s="11"/>
      <c r="HZ151" s="11"/>
      <c r="IA151" s="11"/>
      <c r="IB151" s="11"/>
      <c r="IC151" s="11"/>
      <c r="ID151" s="11"/>
      <c r="IE151" s="11"/>
      <c r="IF151" s="11"/>
      <c r="IG151" s="11"/>
      <c r="IH151" s="11"/>
      <c r="II151" s="11"/>
      <c r="IJ151" s="11"/>
      <c r="IK151" s="11"/>
      <c r="IL151" s="11"/>
      <c r="IM151" s="11"/>
      <c r="IN151" s="11"/>
      <c r="IO151" s="11"/>
      <c r="IP151" s="11"/>
      <c r="IQ151" s="11"/>
      <c r="IR151" s="11"/>
      <c r="IS151" s="11"/>
      <c r="IT151" s="11"/>
      <c r="IU151" s="11"/>
      <c r="IV151" s="11"/>
    </row>
    <row r="152" spans="1:256" x14ac:dyDescent="0.3">
      <c r="A152" s="15" t="s">
        <v>3836</v>
      </c>
      <c r="B152" s="6" t="s">
        <v>1372</v>
      </c>
      <c r="C152" s="6" t="s">
        <v>28</v>
      </c>
      <c r="D152" s="6" t="s">
        <v>114</v>
      </c>
    </row>
    <row r="153" spans="1:256" x14ac:dyDescent="0.3">
      <c r="A153" s="97">
        <v>40648</v>
      </c>
      <c r="B153" s="10" t="s">
        <v>1373</v>
      </c>
      <c r="C153" s="11" t="s">
        <v>1374</v>
      </c>
      <c r="D153" s="10" t="s">
        <v>609</v>
      </c>
    </row>
    <row r="154" spans="1:256" x14ac:dyDescent="0.3">
      <c r="B154" s="10"/>
    </row>
    <row r="155" spans="1:256" x14ac:dyDescent="0.3">
      <c r="A155" s="15" t="s">
        <v>3836</v>
      </c>
      <c r="B155" s="6" t="s">
        <v>1375</v>
      </c>
      <c r="C155" s="6" t="s">
        <v>115</v>
      </c>
      <c r="D155" s="6" t="s">
        <v>116</v>
      </c>
    </row>
    <row r="156" spans="1:256" x14ac:dyDescent="0.3">
      <c r="A156" s="97">
        <v>40648</v>
      </c>
      <c r="B156" s="16" t="s">
        <v>1376</v>
      </c>
      <c r="C156" s="18" t="s">
        <v>1377</v>
      </c>
      <c r="D156" s="11" t="s">
        <v>1378</v>
      </c>
    </row>
    <row r="157" spans="1:256" x14ac:dyDescent="0.3">
      <c r="A157" s="97">
        <v>40648</v>
      </c>
      <c r="B157" s="16" t="s">
        <v>524</v>
      </c>
      <c r="C157" s="18" t="s">
        <v>1379</v>
      </c>
      <c r="D157" s="18" t="s">
        <v>525</v>
      </c>
    </row>
    <row r="158" spans="1:256" x14ac:dyDescent="0.3">
      <c r="A158" s="97">
        <v>40648</v>
      </c>
      <c r="B158" s="16" t="s">
        <v>527</v>
      </c>
      <c r="C158" s="18" t="s">
        <v>1380</v>
      </c>
      <c r="D158" s="18" t="s">
        <v>528</v>
      </c>
    </row>
    <row r="159" spans="1:256" x14ac:dyDescent="0.3">
      <c r="A159" s="97">
        <v>40648</v>
      </c>
      <c r="B159" s="16" t="s">
        <v>530</v>
      </c>
      <c r="C159" s="18" t="s">
        <v>1381</v>
      </c>
      <c r="D159" s="18" t="s">
        <v>531</v>
      </c>
    </row>
    <row r="160" spans="1:256" x14ac:dyDescent="0.3">
      <c r="A160" s="97">
        <v>40648</v>
      </c>
      <c r="B160" s="10" t="s">
        <v>1382</v>
      </c>
      <c r="C160" s="18" t="s">
        <v>1383</v>
      </c>
      <c r="D160" s="11" t="s">
        <v>1384</v>
      </c>
    </row>
    <row r="161" spans="1:4" x14ac:dyDescent="0.3">
      <c r="A161" s="97">
        <v>40648</v>
      </c>
      <c r="B161" s="16" t="s">
        <v>609</v>
      </c>
      <c r="C161" s="18" t="s">
        <v>1374</v>
      </c>
      <c r="D161" s="18" t="s">
        <v>1385</v>
      </c>
    </row>
    <row r="162" spans="1:4" x14ac:dyDescent="0.3">
      <c r="A162" s="97">
        <v>40648</v>
      </c>
      <c r="B162" s="16" t="s">
        <v>1386</v>
      </c>
      <c r="C162" s="18" t="s">
        <v>1387</v>
      </c>
      <c r="D162" s="18" t="s">
        <v>1388</v>
      </c>
    </row>
    <row r="163" spans="1:4" x14ac:dyDescent="0.3">
      <c r="A163" s="97">
        <v>40648</v>
      </c>
      <c r="B163" s="10" t="s">
        <v>1389</v>
      </c>
      <c r="C163" s="10" t="s">
        <v>1390</v>
      </c>
      <c r="D163" s="11" t="s">
        <v>1391</v>
      </c>
    </row>
    <row r="164" spans="1:4" x14ac:dyDescent="0.3">
      <c r="A164" s="97">
        <v>40648</v>
      </c>
      <c r="B164" s="16" t="s">
        <v>1392</v>
      </c>
      <c r="C164" s="18" t="s">
        <v>1393</v>
      </c>
      <c r="D164" s="11" t="s">
        <v>1394</v>
      </c>
    </row>
    <row r="165" spans="1:4" x14ac:dyDescent="0.3">
      <c r="A165" s="97">
        <v>40648</v>
      </c>
      <c r="B165" s="16" t="s">
        <v>1395</v>
      </c>
      <c r="C165" s="18" t="s">
        <v>1396</v>
      </c>
      <c r="D165" s="11" t="s">
        <v>1397</v>
      </c>
    </row>
    <row r="166" spans="1:4" x14ac:dyDescent="0.3">
      <c r="A166" s="97">
        <v>40648</v>
      </c>
      <c r="B166" s="10" t="s">
        <v>1398</v>
      </c>
      <c r="C166" s="10" t="s">
        <v>1399</v>
      </c>
      <c r="D166" s="11" t="s">
        <v>1400</v>
      </c>
    </row>
    <row r="167" spans="1:4" x14ac:dyDescent="0.3">
      <c r="A167" s="97">
        <v>40648</v>
      </c>
      <c r="B167" s="16" t="s">
        <v>1401</v>
      </c>
      <c r="C167" s="18" t="s">
        <v>1402</v>
      </c>
      <c r="D167" s="11" t="s">
        <v>1403</v>
      </c>
    </row>
    <row r="168" spans="1:4" x14ac:dyDescent="0.3">
      <c r="B168" s="10"/>
      <c r="C168" s="10"/>
    </row>
    <row r="169" spans="1:4" x14ac:dyDescent="0.3">
      <c r="A169" s="15" t="s">
        <v>3836</v>
      </c>
      <c r="B169" s="15" t="s">
        <v>1404</v>
      </c>
      <c r="C169" s="15" t="s">
        <v>198</v>
      </c>
      <c r="D169" s="15" t="s">
        <v>199</v>
      </c>
    </row>
    <row r="170" spans="1:4" x14ac:dyDescent="0.3">
      <c r="A170" s="97">
        <v>40648</v>
      </c>
      <c r="B170" s="11" t="s">
        <v>1405</v>
      </c>
      <c r="C170" s="11" t="s">
        <v>1406</v>
      </c>
      <c r="D170" s="10" t="s">
        <v>1407</v>
      </c>
    </row>
    <row r="171" spans="1:4" x14ac:dyDescent="0.3">
      <c r="A171" s="97">
        <v>40648</v>
      </c>
      <c r="B171" s="11" t="s">
        <v>601</v>
      </c>
      <c r="C171" s="11" t="s">
        <v>1408</v>
      </c>
      <c r="D171" s="10" t="s">
        <v>602</v>
      </c>
    </row>
    <row r="172" spans="1:4" x14ac:dyDescent="0.3">
      <c r="A172" s="97">
        <v>40648</v>
      </c>
      <c r="B172" s="11" t="s">
        <v>1409</v>
      </c>
      <c r="C172" s="11" t="s">
        <v>1029</v>
      </c>
      <c r="D172" s="10" t="s">
        <v>382</v>
      </c>
    </row>
    <row r="173" spans="1:4" x14ac:dyDescent="0.3">
      <c r="A173" s="97">
        <v>40648</v>
      </c>
      <c r="B173" s="11" t="s">
        <v>896</v>
      </c>
      <c r="C173" s="11" t="s">
        <v>1410</v>
      </c>
      <c r="D173" s="10" t="s">
        <v>1411</v>
      </c>
    </row>
    <row r="174" spans="1:4" x14ac:dyDescent="0.3">
      <c r="A174" s="97">
        <v>40648</v>
      </c>
      <c r="B174" s="11" t="s">
        <v>1412</v>
      </c>
      <c r="C174" s="11" t="s">
        <v>1029</v>
      </c>
      <c r="D174" s="10" t="s">
        <v>382</v>
      </c>
    </row>
    <row r="175" spans="1:4" x14ac:dyDescent="0.3">
      <c r="A175" s="97">
        <v>40648</v>
      </c>
      <c r="B175" s="11" t="s">
        <v>1413</v>
      </c>
      <c r="C175" s="11" t="s">
        <v>1029</v>
      </c>
      <c r="D175" s="10" t="s">
        <v>382</v>
      </c>
    </row>
    <row r="176" spans="1:4" x14ac:dyDescent="0.3">
      <c r="A176" s="97">
        <v>40648</v>
      </c>
      <c r="B176" s="11" t="s">
        <v>1414</v>
      </c>
      <c r="C176" s="11" t="s">
        <v>1029</v>
      </c>
      <c r="D176" s="10" t="s">
        <v>382</v>
      </c>
    </row>
    <row r="177" spans="1:4" x14ac:dyDescent="0.3">
      <c r="A177" s="97">
        <v>40648</v>
      </c>
      <c r="B177" s="11" t="s">
        <v>1415</v>
      </c>
      <c r="C177" s="11" t="s">
        <v>1029</v>
      </c>
      <c r="D177" s="10" t="s">
        <v>382</v>
      </c>
    </row>
    <row r="178" spans="1:4" x14ac:dyDescent="0.3">
      <c r="A178" s="97">
        <v>40648</v>
      </c>
      <c r="B178" s="11" t="s">
        <v>1416</v>
      </c>
      <c r="C178" s="11" t="s">
        <v>1029</v>
      </c>
      <c r="D178" s="10" t="s">
        <v>382</v>
      </c>
    </row>
    <row r="179" spans="1:4" x14ac:dyDescent="0.3">
      <c r="A179" s="97">
        <v>40648</v>
      </c>
      <c r="B179" s="11" t="s">
        <v>1417</v>
      </c>
      <c r="C179" s="11" t="s">
        <v>1029</v>
      </c>
      <c r="D179" s="10" t="s">
        <v>382</v>
      </c>
    </row>
    <row r="180" spans="1:4" x14ac:dyDescent="0.3">
      <c r="A180" s="97">
        <v>40648</v>
      </c>
      <c r="B180" s="11" t="s">
        <v>1418</v>
      </c>
      <c r="C180" s="11" t="s">
        <v>1029</v>
      </c>
      <c r="D180" s="10" t="s">
        <v>382</v>
      </c>
    </row>
    <row r="181" spans="1:4" x14ac:dyDescent="0.3">
      <c r="A181" s="97">
        <v>40648</v>
      </c>
      <c r="B181" s="11" t="s">
        <v>1419</v>
      </c>
      <c r="C181" s="11" t="s">
        <v>1029</v>
      </c>
      <c r="D181" s="10" t="s">
        <v>382</v>
      </c>
    </row>
    <row r="182" spans="1:4" x14ac:dyDescent="0.3">
      <c r="A182" s="97">
        <v>40648</v>
      </c>
      <c r="B182" s="11" t="s">
        <v>1420</v>
      </c>
      <c r="C182" s="11" t="s">
        <v>1421</v>
      </c>
      <c r="D182" s="10" t="s">
        <v>1115</v>
      </c>
    </row>
    <row r="183" spans="1:4" x14ac:dyDescent="0.3">
      <c r="A183" s="97">
        <v>40648</v>
      </c>
      <c r="B183" s="11" t="s">
        <v>1398</v>
      </c>
      <c r="C183" s="11" t="s">
        <v>1422</v>
      </c>
      <c r="D183" s="10" t="s">
        <v>1423</v>
      </c>
    </row>
    <row r="184" spans="1:4" x14ac:dyDescent="0.3">
      <c r="A184" s="97">
        <v>40648</v>
      </c>
      <c r="B184" s="11" t="s">
        <v>641</v>
      </c>
      <c r="C184" s="11" t="s">
        <v>643</v>
      </c>
      <c r="D184" s="10" t="s">
        <v>642</v>
      </c>
    </row>
    <row r="185" spans="1:4" x14ac:dyDescent="0.3">
      <c r="A185" s="97">
        <v>40648</v>
      </c>
      <c r="B185" s="11" t="s">
        <v>644</v>
      </c>
      <c r="C185" s="11" t="s">
        <v>646</v>
      </c>
      <c r="D185" s="10" t="s">
        <v>645</v>
      </c>
    </row>
    <row r="186" spans="1:4" x14ac:dyDescent="0.3">
      <c r="A186" s="97">
        <v>40648</v>
      </c>
      <c r="B186" s="11" t="s">
        <v>647</v>
      </c>
      <c r="C186" s="11" t="s">
        <v>649</v>
      </c>
      <c r="D186" s="10" t="s">
        <v>648</v>
      </c>
    </row>
    <row r="187" spans="1:4" x14ac:dyDescent="0.3">
      <c r="A187" s="97">
        <v>40648</v>
      </c>
      <c r="B187" s="11" t="s">
        <v>650</v>
      </c>
      <c r="C187" s="11" t="s">
        <v>652</v>
      </c>
      <c r="D187" s="10" t="s">
        <v>651</v>
      </c>
    </row>
    <row r="188" spans="1:4" x14ac:dyDescent="0.3">
      <c r="A188" s="97">
        <v>40648</v>
      </c>
      <c r="B188" s="11" t="s">
        <v>1424</v>
      </c>
      <c r="C188" s="11" t="s">
        <v>1425</v>
      </c>
      <c r="D188" s="10" t="s">
        <v>1426</v>
      </c>
    </row>
    <row r="189" spans="1:4" x14ac:dyDescent="0.3">
      <c r="A189" s="97">
        <v>40648</v>
      </c>
      <c r="B189" s="11" t="s">
        <v>1427</v>
      </c>
      <c r="C189" s="11" t="s">
        <v>1428</v>
      </c>
      <c r="D189" s="10" t="s">
        <v>1429</v>
      </c>
    </row>
    <row r="190" spans="1:4" x14ac:dyDescent="0.3">
      <c r="A190" s="97">
        <v>40648</v>
      </c>
      <c r="B190" s="11" t="s">
        <v>1430</v>
      </c>
      <c r="C190" s="11" t="s">
        <v>1431</v>
      </c>
      <c r="D190" s="10" t="s">
        <v>1432</v>
      </c>
    </row>
    <row r="191" spans="1:4" x14ac:dyDescent="0.3">
      <c r="B191" s="10"/>
      <c r="C191" s="10"/>
    </row>
    <row r="192" spans="1:4" x14ac:dyDescent="0.3">
      <c r="A192" s="15" t="s">
        <v>3836</v>
      </c>
      <c r="B192" s="15" t="s">
        <v>1433</v>
      </c>
      <c r="C192" s="15" t="s">
        <v>307</v>
      </c>
      <c r="D192" s="15" t="s">
        <v>308</v>
      </c>
    </row>
    <row r="193" spans="1:4" x14ac:dyDescent="0.3">
      <c r="A193" s="97">
        <v>40648</v>
      </c>
      <c r="B193" s="10" t="s">
        <v>1434</v>
      </c>
      <c r="C193" s="10" t="s">
        <v>1435</v>
      </c>
      <c r="D193" s="10" t="s">
        <v>1436</v>
      </c>
    </row>
    <row r="194" spans="1:4" x14ac:dyDescent="0.3">
      <c r="A194" s="97">
        <v>40648</v>
      </c>
      <c r="B194" s="11" t="s">
        <v>1437</v>
      </c>
      <c r="C194" s="10" t="s">
        <v>1438</v>
      </c>
      <c r="D194" s="10" t="s">
        <v>1436</v>
      </c>
    </row>
    <row r="195" spans="1:4" x14ac:dyDescent="0.3">
      <c r="A195" s="97">
        <v>40648</v>
      </c>
      <c r="B195" s="11" t="s">
        <v>1439</v>
      </c>
      <c r="C195" s="10" t="s">
        <v>1435</v>
      </c>
      <c r="D195" s="10" t="s">
        <v>1436</v>
      </c>
    </row>
    <row r="196" spans="1:4" x14ac:dyDescent="0.3">
      <c r="A196" s="97">
        <v>40648</v>
      </c>
      <c r="B196" s="11" t="s">
        <v>1440</v>
      </c>
      <c r="C196" s="10" t="s">
        <v>1435</v>
      </c>
      <c r="D196" s="10" t="s">
        <v>1436</v>
      </c>
    </row>
    <row r="197" spans="1:4" x14ac:dyDescent="0.3">
      <c r="A197" s="97">
        <v>40648</v>
      </c>
      <c r="B197" s="11" t="s">
        <v>1441</v>
      </c>
      <c r="C197" s="10" t="s">
        <v>1438</v>
      </c>
      <c r="D197" s="10" t="s">
        <v>1436</v>
      </c>
    </row>
    <row r="198" spans="1:4" x14ac:dyDescent="0.3">
      <c r="A198" s="97">
        <v>40648</v>
      </c>
      <c r="B198" s="11" t="s">
        <v>1442</v>
      </c>
      <c r="C198" s="10" t="s">
        <v>1435</v>
      </c>
      <c r="D198" s="10" t="s">
        <v>1436</v>
      </c>
    </row>
    <row r="199" spans="1:4" x14ac:dyDescent="0.3">
      <c r="A199" s="97">
        <v>40648</v>
      </c>
      <c r="B199" s="11" t="s">
        <v>1443</v>
      </c>
      <c r="C199" s="10" t="s">
        <v>1444</v>
      </c>
      <c r="D199" s="10" t="s">
        <v>1445</v>
      </c>
    </row>
    <row r="200" spans="1:4" x14ac:dyDescent="0.3">
      <c r="A200" s="97">
        <v>40648</v>
      </c>
      <c r="B200" s="11" t="s">
        <v>1446</v>
      </c>
      <c r="C200" s="10" t="s">
        <v>1444</v>
      </c>
      <c r="D200" s="10" t="s">
        <v>1445</v>
      </c>
    </row>
    <row r="201" spans="1:4" x14ac:dyDescent="0.3">
      <c r="A201" s="97">
        <v>40648</v>
      </c>
      <c r="B201" s="11" t="s">
        <v>1447</v>
      </c>
      <c r="C201" s="10" t="s">
        <v>1444</v>
      </c>
      <c r="D201" s="10" t="s">
        <v>1445</v>
      </c>
    </row>
    <row r="202" spans="1:4" x14ac:dyDescent="0.3">
      <c r="A202" s="97">
        <v>40648</v>
      </c>
      <c r="B202" s="11" t="s">
        <v>1448</v>
      </c>
      <c r="C202" s="10" t="s">
        <v>1444</v>
      </c>
      <c r="D202" s="10" t="s">
        <v>1445</v>
      </c>
    </row>
    <row r="203" spans="1:4" x14ac:dyDescent="0.3">
      <c r="A203" s="97">
        <v>40648</v>
      </c>
      <c r="B203" s="11" t="s">
        <v>1449</v>
      </c>
      <c r="C203" s="10" t="s">
        <v>1444</v>
      </c>
      <c r="D203" s="10" t="s">
        <v>1445</v>
      </c>
    </row>
    <row r="204" spans="1:4" x14ac:dyDescent="0.3">
      <c r="A204" s="97">
        <v>40648</v>
      </c>
      <c r="B204" s="11" t="s">
        <v>1450</v>
      </c>
      <c r="C204" s="10" t="s">
        <v>1444</v>
      </c>
      <c r="D204" s="10" t="s">
        <v>1445</v>
      </c>
    </row>
    <row r="205" spans="1:4" x14ac:dyDescent="0.3">
      <c r="A205" s="97">
        <v>40648</v>
      </c>
      <c r="B205" s="11" t="s">
        <v>1451</v>
      </c>
      <c r="C205" s="10" t="s">
        <v>1444</v>
      </c>
      <c r="D205" s="10" t="s">
        <v>1445</v>
      </c>
    </row>
    <row r="206" spans="1:4" x14ac:dyDescent="0.3">
      <c r="A206" s="97">
        <v>40648</v>
      </c>
      <c r="B206" s="11" t="s">
        <v>1452</v>
      </c>
      <c r="C206" s="10" t="s">
        <v>1444</v>
      </c>
      <c r="D206" s="10" t="s">
        <v>1445</v>
      </c>
    </row>
    <row r="207" spans="1:4" x14ac:dyDescent="0.3">
      <c r="A207" s="97">
        <v>40648</v>
      </c>
      <c r="B207" s="11" t="s">
        <v>1453</v>
      </c>
      <c r="C207" s="10" t="s">
        <v>1444</v>
      </c>
      <c r="D207" s="10" t="s">
        <v>1445</v>
      </c>
    </row>
    <row r="208" spans="1:4" x14ac:dyDescent="0.3">
      <c r="A208" s="97">
        <v>40648</v>
      </c>
      <c r="B208" s="10" t="s">
        <v>1454</v>
      </c>
      <c r="C208" s="10" t="s">
        <v>1455</v>
      </c>
      <c r="D208" s="10" t="s">
        <v>1042</v>
      </c>
    </row>
    <row r="209" spans="1:4" x14ac:dyDescent="0.3">
      <c r="A209" s="97">
        <v>40648</v>
      </c>
      <c r="B209" s="10" t="s">
        <v>1456</v>
      </c>
      <c r="C209" s="10" t="s">
        <v>1457</v>
      </c>
      <c r="D209" s="10" t="s">
        <v>1458</v>
      </c>
    </row>
    <row r="210" spans="1:4" x14ac:dyDescent="0.3">
      <c r="A210" s="97">
        <v>40648</v>
      </c>
      <c r="B210" s="11" t="s">
        <v>1420</v>
      </c>
      <c r="C210" s="10" t="s">
        <v>1459</v>
      </c>
      <c r="D210" s="10" t="s">
        <v>1116</v>
      </c>
    </row>
    <row r="211" spans="1:4" x14ac:dyDescent="0.3">
      <c r="A211" s="97">
        <v>40648</v>
      </c>
      <c r="B211" s="10" t="s">
        <v>1460</v>
      </c>
      <c r="C211" s="10" t="s">
        <v>1461</v>
      </c>
      <c r="D211" s="10" t="s">
        <v>1462</v>
      </c>
    </row>
    <row r="212" spans="1:4" x14ac:dyDescent="0.3">
      <c r="A212" s="97">
        <v>40648</v>
      </c>
      <c r="B212" s="10" t="s">
        <v>1463</v>
      </c>
      <c r="C212" s="10" t="s">
        <v>1461</v>
      </c>
      <c r="D212" s="10" t="s">
        <v>1462</v>
      </c>
    </row>
    <row r="213" spans="1:4" x14ac:dyDescent="0.3">
      <c r="A213" s="97">
        <v>40648</v>
      </c>
      <c r="B213" s="10" t="s">
        <v>1464</v>
      </c>
      <c r="C213" s="10" t="s">
        <v>1461</v>
      </c>
      <c r="D213" s="10" t="s">
        <v>1462</v>
      </c>
    </row>
    <row r="214" spans="1:4" x14ac:dyDescent="0.3">
      <c r="A214" s="97">
        <v>40648</v>
      </c>
      <c r="B214" s="11" t="s">
        <v>1465</v>
      </c>
      <c r="C214" s="10" t="s">
        <v>1461</v>
      </c>
      <c r="D214" s="10" t="s">
        <v>1462</v>
      </c>
    </row>
    <row r="215" spans="1:4" x14ac:dyDescent="0.3">
      <c r="A215" s="97">
        <v>40648</v>
      </c>
      <c r="B215" s="11" t="s">
        <v>1466</v>
      </c>
      <c r="C215" s="10" t="s">
        <v>1461</v>
      </c>
      <c r="D215" s="10" t="s">
        <v>1462</v>
      </c>
    </row>
    <row r="216" spans="1:4" x14ac:dyDescent="0.3">
      <c r="A216" s="97">
        <v>40648</v>
      </c>
      <c r="B216" s="11" t="s">
        <v>1467</v>
      </c>
      <c r="C216" s="10" t="s">
        <v>1461</v>
      </c>
      <c r="D216" s="10" t="s">
        <v>1462</v>
      </c>
    </row>
    <row r="217" spans="1:4" x14ac:dyDescent="0.3">
      <c r="A217" s="97">
        <v>40648</v>
      </c>
      <c r="B217" s="11" t="s">
        <v>1468</v>
      </c>
      <c r="C217" s="10" t="s">
        <v>1461</v>
      </c>
      <c r="D217" s="10" t="s">
        <v>1462</v>
      </c>
    </row>
    <row r="218" spans="1:4" x14ac:dyDescent="0.3">
      <c r="A218" s="97">
        <v>40648</v>
      </c>
      <c r="B218" s="10" t="s">
        <v>1469</v>
      </c>
      <c r="C218" s="10" t="s">
        <v>1470</v>
      </c>
      <c r="D218" s="10" t="s">
        <v>1471</v>
      </c>
    </row>
    <row r="219" spans="1:4" x14ac:dyDescent="0.3">
      <c r="A219" s="97">
        <v>40648</v>
      </c>
      <c r="B219" s="10" t="s">
        <v>1472</v>
      </c>
      <c r="C219" s="10" t="s">
        <v>1470</v>
      </c>
      <c r="D219" s="10" t="s">
        <v>1471</v>
      </c>
    </row>
    <row r="220" spans="1:4" x14ac:dyDescent="0.3">
      <c r="A220" s="97">
        <v>40648</v>
      </c>
      <c r="B220" s="11" t="s">
        <v>1473</v>
      </c>
      <c r="C220" s="10" t="s">
        <v>1470</v>
      </c>
      <c r="D220" s="10" t="s">
        <v>1471</v>
      </c>
    </row>
    <row r="221" spans="1:4" x14ac:dyDescent="0.3">
      <c r="A221" s="97">
        <v>40648</v>
      </c>
      <c r="B221" s="11" t="s">
        <v>1474</v>
      </c>
      <c r="C221" s="10" t="s">
        <v>1475</v>
      </c>
      <c r="D221" s="10" t="s">
        <v>1476</v>
      </c>
    </row>
    <row r="222" spans="1:4" x14ac:dyDescent="0.3">
      <c r="A222" s="97">
        <v>40648</v>
      </c>
      <c r="B222" s="11" t="s">
        <v>1477</v>
      </c>
      <c r="C222" s="10" t="s">
        <v>1478</v>
      </c>
      <c r="D222" s="10" t="s">
        <v>1479</v>
      </c>
    </row>
    <row r="223" spans="1:4" x14ac:dyDescent="0.3">
      <c r="A223" s="97">
        <v>40648</v>
      </c>
      <c r="B223" s="11" t="s">
        <v>1480</v>
      </c>
      <c r="C223" s="10" t="s">
        <v>1478</v>
      </c>
      <c r="D223" s="10" t="s">
        <v>1479</v>
      </c>
    </row>
    <row r="224" spans="1:4" x14ac:dyDescent="0.3">
      <c r="A224" s="97">
        <v>40648</v>
      </c>
      <c r="B224" s="11" t="s">
        <v>1481</v>
      </c>
      <c r="C224" s="10" t="s">
        <v>1478</v>
      </c>
      <c r="D224" s="10" t="s">
        <v>1479</v>
      </c>
    </row>
    <row r="225" spans="1:4" x14ac:dyDescent="0.3">
      <c r="A225" s="97">
        <v>40648</v>
      </c>
      <c r="B225" s="11" t="s">
        <v>1482</v>
      </c>
      <c r="C225" s="10" t="s">
        <v>1478</v>
      </c>
      <c r="D225" s="10" t="s">
        <v>1479</v>
      </c>
    </row>
    <row r="226" spans="1:4" x14ac:dyDescent="0.3">
      <c r="A226" s="97">
        <v>40648</v>
      </c>
      <c r="B226" s="11" t="s">
        <v>1483</v>
      </c>
      <c r="C226" s="10" t="s">
        <v>1478</v>
      </c>
      <c r="D226" s="10" t="s">
        <v>1479</v>
      </c>
    </row>
    <row r="227" spans="1:4" x14ac:dyDescent="0.3">
      <c r="A227" s="97">
        <v>40648</v>
      </c>
      <c r="B227" s="11" t="s">
        <v>1484</v>
      </c>
      <c r="C227" s="10" t="s">
        <v>1478</v>
      </c>
      <c r="D227" s="10" t="s">
        <v>1479</v>
      </c>
    </row>
    <row r="228" spans="1:4" x14ac:dyDescent="0.3">
      <c r="A228" s="97">
        <v>40648</v>
      </c>
      <c r="B228" s="11" t="s">
        <v>1485</v>
      </c>
      <c r="C228" s="10" t="s">
        <v>962</v>
      </c>
      <c r="D228" s="10" t="s">
        <v>1486</v>
      </c>
    </row>
    <row r="229" spans="1:4" x14ac:dyDescent="0.3">
      <c r="A229" s="97">
        <v>40648</v>
      </c>
      <c r="B229" s="11" t="s">
        <v>1487</v>
      </c>
      <c r="C229" s="10" t="s">
        <v>962</v>
      </c>
      <c r="D229" s="10" t="s">
        <v>1486</v>
      </c>
    </row>
    <row r="230" spans="1:4" x14ac:dyDescent="0.3">
      <c r="A230" s="97">
        <v>40648</v>
      </c>
      <c r="B230" s="11" t="s">
        <v>321</v>
      </c>
      <c r="C230" s="10" t="s">
        <v>1488</v>
      </c>
      <c r="D230" s="10" t="s">
        <v>314</v>
      </c>
    </row>
    <row r="231" spans="1:4" x14ac:dyDescent="0.3">
      <c r="A231" s="97">
        <v>40648</v>
      </c>
      <c r="B231" s="11" t="s">
        <v>364</v>
      </c>
      <c r="C231" s="10" t="s">
        <v>1488</v>
      </c>
      <c r="D231" s="10" t="s">
        <v>314</v>
      </c>
    </row>
    <row r="232" spans="1:4" x14ac:dyDescent="0.3">
      <c r="A232" s="97">
        <v>40648</v>
      </c>
      <c r="B232" s="11" t="s">
        <v>351</v>
      </c>
      <c r="C232" s="10" t="s">
        <v>1489</v>
      </c>
      <c r="D232" s="10" t="s">
        <v>352</v>
      </c>
    </row>
    <row r="233" spans="1:4" x14ac:dyDescent="0.3">
      <c r="A233" s="97">
        <v>40648</v>
      </c>
      <c r="B233" s="11" t="s">
        <v>354</v>
      </c>
      <c r="C233" s="10" t="s">
        <v>1489</v>
      </c>
      <c r="D233" s="10" t="s">
        <v>352</v>
      </c>
    </row>
    <row r="234" spans="1:4" x14ac:dyDescent="0.3">
      <c r="A234" s="97">
        <v>40648</v>
      </c>
      <c r="B234" s="10" t="s">
        <v>355</v>
      </c>
      <c r="C234" s="10" t="s">
        <v>1489</v>
      </c>
      <c r="D234" s="10" t="s">
        <v>352</v>
      </c>
    </row>
    <row r="235" spans="1:4" x14ac:dyDescent="0.3">
      <c r="A235" s="97">
        <v>40648</v>
      </c>
      <c r="B235" s="10" t="s">
        <v>356</v>
      </c>
      <c r="C235" s="10" t="s">
        <v>1489</v>
      </c>
      <c r="D235" s="10" t="s">
        <v>352</v>
      </c>
    </row>
    <row r="236" spans="1:4" x14ac:dyDescent="0.3">
      <c r="A236" s="97">
        <v>40648</v>
      </c>
      <c r="B236" s="10" t="s">
        <v>357</v>
      </c>
      <c r="C236" s="10" t="s">
        <v>1489</v>
      </c>
      <c r="D236" s="10" t="s">
        <v>352</v>
      </c>
    </row>
    <row r="237" spans="1:4" x14ac:dyDescent="0.3">
      <c r="A237" s="97">
        <v>40648</v>
      </c>
      <c r="B237" s="16" t="s">
        <v>358</v>
      </c>
      <c r="C237" s="10" t="s">
        <v>1489</v>
      </c>
      <c r="D237" s="10" t="s">
        <v>352</v>
      </c>
    </row>
    <row r="238" spans="1:4" x14ac:dyDescent="0.3">
      <c r="A238" s="97">
        <v>40648</v>
      </c>
      <c r="B238" s="16" t="s">
        <v>1490</v>
      </c>
      <c r="C238" s="10" t="s">
        <v>1491</v>
      </c>
      <c r="D238" s="10" t="s">
        <v>1492</v>
      </c>
    </row>
    <row r="239" spans="1:4" x14ac:dyDescent="0.3">
      <c r="A239" s="97">
        <v>40648</v>
      </c>
      <c r="B239" s="16" t="s">
        <v>986</v>
      </c>
      <c r="C239" s="10" t="s">
        <v>1493</v>
      </c>
      <c r="D239" s="10" t="s">
        <v>1494</v>
      </c>
    </row>
    <row r="240" spans="1:4" x14ac:dyDescent="0.3">
      <c r="A240" s="97">
        <v>40648</v>
      </c>
      <c r="B240" s="16" t="s">
        <v>989</v>
      </c>
      <c r="C240" s="10" t="s">
        <v>1493</v>
      </c>
      <c r="D240" s="10" t="s">
        <v>1494</v>
      </c>
    </row>
    <row r="241" spans="1:4" x14ac:dyDescent="0.3">
      <c r="A241" s="97">
        <v>40648</v>
      </c>
      <c r="B241" s="11" t="s">
        <v>990</v>
      </c>
      <c r="C241" s="10" t="s">
        <v>1495</v>
      </c>
      <c r="D241" s="10" t="s">
        <v>991</v>
      </c>
    </row>
    <row r="242" spans="1:4" x14ac:dyDescent="0.3">
      <c r="A242" s="97">
        <v>40648</v>
      </c>
      <c r="B242" s="11" t="s">
        <v>993</v>
      </c>
      <c r="C242" s="10" t="s">
        <v>1495</v>
      </c>
      <c r="D242" s="10" t="s">
        <v>991</v>
      </c>
    </row>
    <row r="243" spans="1:4" x14ac:dyDescent="0.3">
      <c r="A243" s="97">
        <v>40648</v>
      </c>
      <c r="B243" s="11" t="s">
        <v>1496</v>
      </c>
      <c r="C243" s="10" t="s">
        <v>1497</v>
      </c>
      <c r="D243" s="10" t="s">
        <v>1498</v>
      </c>
    </row>
    <row r="244" spans="1:4" x14ac:dyDescent="0.3">
      <c r="A244" s="97">
        <v>40648</v>
      </c>
      <c r="B244" s="11" t="s">
        <v>1499</v>
      </c>
      <c r="C244" s="10" t="s">
        <v>1497</v>
      </c>
      <c r="D244" s="10" t="s">
        <v>1498</v>
      </c>
    </row>
    <row r="245" spans="1:4" x14ac:dyDescent="0.3">
      <c r="A245" s="97">
        <v>40648</v>
      </c>
      <c r="B245" s="11" t="s">
        <v>1500</v>
      </c>
      <c r="C245" s="10" t="s">
        <v>1501</v>
      </c>
      <c r="D245" s="10" t="s">
        <v>1498</v>
      </c>
    </row>
    <row r="246" spans="1:4" x14ac:dyDescent="0.3">
      <c r="A246" s="97">
        <v>40648</v>
      </c>
      <c r="B246" s="11" t="s">
        <v>1502</v>
      </c>
      <c r="C246" s="10" t="s">
        <v>1501</v>
      </c>
      <c r="D246" s="10" t="s">
        <v>1498</v>
      </c>
    </row>
    <row r="247" spans="1:4" x14ac:dyDescent="0.3">
      <c r="A247" s="97">
        <v>40648</v>
      </c>
      <c r="B247" s="11" t="s">
        <v>1503</v>
      </c>
      <c r="C247" s="10" t="s">
        <v>1497</v>
      </c>
      <c r="D247" s="10" t="s">
        <v>1498</v>
      </c>
    </row>
    <row r="248" spans="1:4" x14ac:dyDescent="0.3">
      <c r="A248" s="97">
        <v>40648</v>
      </c>
      <c r="B248" s="11" t="s">
        <v>1504</v>
      </c>
      <c r="C248" s="10" t="s">
        <v>1497</v>
      </c>
      <c r="D248" s="10" t="s">
        <v>1498</v>
      </c>
    </row>
    <row r="249" spans="1:4" x14ac:dyDescent="0.3">
      <c r="A249" s="97">
        <v>40648</v>
      </c>
      <c r="B249" s="11" t="s">
        <v>1505</v>
      </c>
      <c r="C249" s="10" t="s">
        <v>1501</v>
      </c>
      <c r="D249" s="10" t="s">
        <v>1498</v>
      </c>
    </row>
    <row r="250" spans="1:4" x14ac:dyDescent="0.3">
      <c r="A250" s="97">
        <v>40648</v>
      </c>
      <c r="B250" s="11" t="s">
        <v>1506</v>
      </c>
      <c r="C250" s="10" t="s">
        <v>1501</v>
      </c>
      <c r="D250" s="10" t="s">
        <v>1498</v>
      </c>
    </row>
    <row r="251" spans="1:4" x14ac:dyDescent="0.3">
      <c r="A251" s="97">
        <v>40648</v>
      </c>
      <c r="B251" s="11" t="s">
        <v>1507</v>
      </c>
      <c r="C251" s="10" t="s">
        <v>1497</v>
      </c>
      <c r="D251" s="10" t="s">
        <v>1498</v>
      </c>
    </row>
    <row r="252" spans="1:4" x14ac:dyDescent="0.3">
      <c r="A252" s="97">
        <v>40648</v>
      </c>
      <c r="B252" s="11" t="s">
        <v>1508</v>
      </c>
      <c r="C252" s="10" t="s">
        <v>1497</v>
      </c>
      <c r="D252" s="10" t="s">
        <v>1498</v>
      </c>
    </row>
    <row r="253" spans="1:4" x14ac:dyDescent="0.3">
      <c r="A253" s="97">
        <v>40648</v>
      </c>
      <c r="B253" s="11" t="s">
        <v>1509</v>
      </c>
      <c r="C253" s="10" t="s">
        <v>1501</v>
      </c>
      <c r="D253" s="10" t="s">
        <v>1498</v>
      </c>
    </row>
    <row r="254" spans="1:4" x14ac:dyDescent="0.3">
      <c r="A254" s="97">
        <v>40648</v>
      </c>
      <c r="B254" s="11" t="s">
        <v>1510</v>
      </c>
      <c r="C254" s="10" t="s">
        <v>1501</v>
      </c>
      <c r="D254" s="10" t="s">
        <v>1498</v>
      </c>
    </row>
    <row r="256" spans="1:4" x14ac:dyDescent="0.3">
      <c r="A256" s="15" t="s">
        <v>3836</v>
      </c>
      <c r="B256" s="15" t="s">
        <v>1511</v>
      </c>
      <c r="C256" s="15" t="s">
        <v>374</v>
      </c>
      <c r="D256" s="15" t="s">
        <v>375</v>
      </c>
    </row>
    <row r="257" spans="1:4" x14ac:dyDescent="0.3">
      <c r="A257" s="97">
        <v>40648</v>
      </c>
      <c r="B257" s="11" t="s">
        <v>1512</v>
      </c>
      <c r="C257" s="11" t="s">
        <v>1513</v>
      </c>
      <c r="D257" s="10" t="s">
        <v>1153</v>
      </c>
    </row>
    <row r="258" spans="1:4" x14ac:dyDescent="0.3">
      <c r="A258" s="97">
        <v>40648</v>
      </c>
      <c r="B258" s="11" t="s">
        <v>1514</v>
      </c>
      <c r="C258" s="11" t="s">
        <v>1513</v>
      </c>
      <c r="D258" s="10" t="s">
        <v>1153</v>
      </c>
    </row>
    <row r="259" spans="1:4" x14ac:dyDescent="0.3">
      <c r="A259" s="97">
        <v>40648</v>
      </c>
      <c r="B259" s="11" t="s">
        <v>1515</v>
      </c>
      <c r="C259" s="11" t="s">
        <v>1513</v>
      </c>
      <c r="D259" s="10" t="s">
        <v>1153</v>
      </c>
    </row>
    <row r="260" spans="1:4" x14ac:dyDescent="0.3">
      <c r="A260" s="97">
        <v>40648</v>
      </c>
      <c r="B260" s="11" t="s">
        <v>1516</v>
      </c>
      <c r="C260" s="11" t="s">
        <v>1513</v>
      </c>
      <c r="D260" s="10" t="s">
        <v>1153</v>
      </c>
    </row>
    <row r="261" spans="1:4" x14ac:dyDescent="0.3">
      <c r="A261" s="97">
        <v>40648</v>
      </c>
      <c r="B261" s="11" t="s">
        <v>1477</v>
      </c>
      <c r="C261" s="11" t="s">
        <v>1513</v>
      </c>
      <c r="D261" s="10" t="s">
        <v>1153</v>
      </c>
    </row>
    <row r="262" spans="1:4" x14ac:dyDescent="0.3">
      <c r="A262" s="97">
        <v>40648</v>
      </c>
      <c r="B262" s="11" t="s">
        <v>1480</v>
      </c>
      <c r="C262" s="11" t="s">
        <v>1513</v>
      </c>
      <c r="D262" s="10" t="s">
        <v>1153</v>
      </c>
    </row>
    <row r="263" spans="1:4" x14ac:dyDescent="0.3">
      <c r="A263" s="97">
        <v>40648</v>
      </c>
      <c r="B263" s="11" t="s">
        <v>1517</v>
      </c>
      <c r="C263" s="11" t="s">
        <v>1513</v>
      </c>
      <c r="D263" s="10" t="s">
        <v>1153</v>
      </c>
    </row>
    <row r="264" spans="1:4" x14ac:dyDescent="0.3">
      <c r="A264" s="97">
        <v>40648</v>
      </c>
      <c r="B264" s="11" t="s">
        <v>1518</v>
      </c>
      <c r="C264" s="11" t="s">
        <v>1513</v>
      </c>
      <c r="D264" s="10" t="s">
        <v>1153</v>
      </c>
    </row>
    <row r="265" spans="1:4" x14ac:dyDescent="0.3">
      <c r="A265" s="97">
        <v>40648</v>
      </c>
      <c r="B265" s="11" t="s">
        <v>1481</v>
      </c>
      <c r="C265" s="11" t="s">
        <v>1513</v>
      </c>
      <c r="D265" s="10" t="s">
        <v>1153</v>
      </c>
    </row>
    <row r="266" spans="1:4" x14ac:dyDescent="0.3">
      <c r="A266" s="97">
        <v>40648</v>
      </c>
      <c r="B266" s="11" t="s">
        <v>1482</v>
      </c>
      <c r="C266" s="11" t="s">
        <v>1513</v>
      </c>
      <c r="D266" s="10" t="s">
        <v>1153</v>
      </c>
    </row>
    <row r="267" spans="1:4" x14ac:dyDescent="0.3">
      <c r="A267" s="97">
        <v>40648</v>
      </c>
      <c r="B267" s="11" t="s">
        <v>1483</v>
      </c>
      <c r="C267" s="11" t="s">
        <v>1513</v>
      </c>
      <c r="D267" s="10" t="s">
        <v>1153</v>
      </c>
    </row>
    <row r="268" spans="1:4" x14ac:dyDescent="0.3">
      <c r="A268" s="97">
        <v>40648</v>
      </c>
      <c r="B268" s="11" t="s">
        <v>1484</v>
      </c>
      <c r="C268" s="11" t="s">
        <v>1513</v>
      </c>
      <c r="D268" s="10" t="s">
        <v>1153</v>
      </c>
    </row>
    <row r="269" spans="1:4" x14ac:dyDescent="0.3">
      <c r="A269" s="97">
        <v>40648</v>
      </c>
      <c r="B269" s="11" t="s">
        <v>1519</v>
      </c>
      <c r="C269" s="11" t="s">
        <v>1513</v>
      </c>
      <c r="D269" s="10" t="s">
        <v>1153</v>
      </c>
    </row>
    <row r="270" spans="1:4" x14ac:dyDescent="0.3">
      <c r="A270" s="97">
        <v>40648</v>
      </c>
      <c r="B270" s="11" t="s">
        <v>1520</v>
      </c>
      <c r="C270" s="11" t="s">
        <v>1513</v>
      </c>
      <c r="D270" s="10" t="s">
        <v>1153</v>
      </c>
    </row>
    <row r="271" spans="1:4" x14ac:dyDescent="0.3">
      <c r="A271" s="97">
        <v>40648</v>
      </c>
      <c r="B271" s="11" t="s">
        <v>1521</v>
      </c>
      <c r="C271" s="11" t="s">
        <v>1513</v>
      </c>
      <c r="D271" s="10" t="s">
        <v>1153</v>
      </c>
    </row>
    <row r="272" spans="1:4" x14ac:dyDescent="0.3">
      <c r="A272" s="97">
        <v>40648</v>
      </c>
      <c r="B272" s="11" t="s">
        <v>1522</v>
      </c>
      <c r="C272" s="11" t="s">
        <v>1513</v>
      </c>
      <c r="D272" s="10" t="s">
        <v>1153</v>
      </c>
    </row>
    <row r="273" spans="1:4" x14ac:dyDescent="0.3">
      <c r="A273" s="97">
        <v>40648</v>
      </c>
      <c r="B273" s="11" t="s">
        <v>1523</v>
      </c>
      <c r="C273" s="11" t="s">
        <v>1513</v>
      </c>
      <c r="D273" s="10" t="s">
        <v>1153</v>
      </c>
    </row>
    <row r="274" spans="1:4" x14ac:dyDescent="0.3">
      <c r="A274" s="97">
        <v>40648</v>
      </c>
      <c r="B274" s="11" t="s">
        <v>1524</v>
      </c>
      <c r="C274" s="11" t="s">
        <v>1513</v>
      </c>
      <c r="D274" s="10" t="s">
        <v>1153</v>
      </c>
    </row>
    <row r="275" spans="1:4" x14ac:dyDescent="0.3">
      <c r="A275" s="97">
        <v>40648</v>
      </c>
      <c r="B275" s="11" t="s">
        <v>1525</v>
      </c>
      <c r="C275" s="11" t="s">
        <v>1513</v>
      </c>
      <c r="D275" s="10" t="s">
        <v>1153</v>
      </c>
    </row>
    <row r="276" spans="1:4" x14ac:dyDescent="0.3">
      <c r="A276" s="97">
        <v>40648</v>
      </c>
      <c r="B276" s="11" t="s">
        <v>1526</v>
      </c>
      <c r="C276" s="11" t="s">
        <v>1513</v>
      </c>
      <c r="D276" s="10" t="s">
        <v>1153</v>
      </c>
    </row>
    <row r="277" spans="1:4" x14ac:dyDescent="0.3">
      <c r="A277" s="97">
        <v>40648</v>
      </c>
      <c r="B277" s="11" t="s">
        <v>1527</v>
      </c>
      <c r="C277" s="11" t="s">
        <v>1513</v>
      </c>
      <c r="D277" s="10" t="s">
        <v>1153</v>
      </c>
    </row>
    <row r="278" spans="1:4" x14ac:dyDescent="0.3">
      <c r="A278" s="97">
        <v>40648</v>
      </c>
      <c r="B278" s="11" t="s">
        <v>1528</v>
      </c>
      <c r="C278" s="11" t="s">
        <v>92</v>
      </c>
      <c r="D278" s="10" t="s">
        <v>437</v>
      </c>
    </row>
    <row r="279" spans="1:4" x14ac:dyDescent="0.3">
      <c r="A279" s="97">
        <v>40648</v>
      </c>
      <c r="B279" s="11" t="s">
        <v>1529</v>
      </c>
      <c r="C279" s="11" t="s">
        <v>92</v>
      </c>
      <c r="D279" s="10" t="s">
        <v>437</v>
      </c>
    </row>
    <row r="280" spans="1:4" x14ac:dyDescent="0.3">
      <c r="A280" s="97">
        <v>40648</v>
      </c>
      <c r="B280" s="11" t="s">
        <v>1530</v>
      </c>
      <c r="C280" s="11" t="s">
        <v>92</v>
      </c>
      <c r="D280" s="10" t="s">
        <v>437</v>
      </c>
    </row>
  </sheetData>
  <pageMargins left="0.7" right="0.7" top="0.75" bottom="0.75" header="0.3" footer="0.3"/>
  <pageSetup orientation="portrait" horizontalDpi="204" verticalDpi="196"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Description</vt:lpstr>
      <vt:lpstr>Series changes 2019</vt:lpstr>
      <vt:lpstr>Series changes 2018</vt:lpstr>
      <vt:lpstr>Series changes 2017</vt:lpstr>
      <vt:lpstr>Series changes 2016</vt:lpstr>
      <vt:lpstr>Series changes 2015</vt:lpstr>
      <vt:lpstr>Series changes 2014</vt:lpstr>
      <vt:lpstr>Series changes 2013</vt:lpstr>
      <vt:lpstr>Series changes 2012</vt:lpstr>
      <vt:lpstr>Series changes 2011</vt:lpstr>
    </vt:vector>
  </TitlesOfParts>
  <Company>The World Bank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WB72563</dc:creator>
  <cp:lastModifiedBy>alonurb.villanueva@gmail.com</cp:lastModifiedBy>
  <dcterms:created xsi:type="dcterms:W3CDTF">2013-04-17T15:44:00Z</dcterms:created>
  <dcterms:modified xsi:type="dcterms:W3CDTF">2026-04-28T02:29:45Z</dcterms:modified>
</cp:coreProperties>
</file>